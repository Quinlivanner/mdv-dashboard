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mc:AlternateContent xmlns:mc="http://schemas.openxmlformats.org/markup-compatibility/2006">
    <mc:Choice Requires="x15">
      <x15ac:absPath xmlns:x15ac="http://schemas.microsoft.com/office/spreadsheetml/2010/11/ac" url="D:\home\WeChat Files\wxid_3kja5f27l27p22\FileStorage\File\2025-04\"/>
    </mc:Choice>
  </mc:AlternateContent>
  <xr:revisionPtr revIDLastSave="0" documentId="13_ncr:1_{74E95C10-0542-41D2-88B5-0396B24E61AE}" xr6:coauthVersionLast="47" xr6:coauthVersionMax="47" xr10:uidLastSave="{00000000-0000-0000-0000-000000000000}"/>
  <bookViews>
    <workbookView xWindow="-120" yWindow="-120" windowWidth="38640" windowHeight="21120" tabRatio="781" xr2:uid="{00000000-000D-0000-FFFF-FFFF00000000}"/>
  </bookViews>
  <sheets>
    <sheet name="Home" sheetId="2" r:id="rId1"/>
    <sheet name="Database" sheetId="20" r:id="rId2"/>
    <sheet name="轿厢&gt;井道" sheetId="1" state="veryHidden" r:id="rId3"/>
    <sheet name="标准配置" sheetId="16" state="veryHidden" r:id="rId4"/>
    <sheet name="井道尺寸数据" sheetId="17" state="veryHidden" r:id="rId5"/>
    <sheet name="修改记录" sheetId="13" r:id="rId6"/>
    <sheet name="别墅梯" sheetId="21" r:id="rId7"/>
    <sheet name="Sheet1" sheetId="22" r:id="rId8"/>
  </sheets>
  <externalReferences>
    <externalReference r:id="rId9"/>
  </externalReferences>
  <definedNames>
    <definedName name="_xlnm._FilterDatabase" localSheetId="1" hidden="1">Database!$A$4:$AF$23</definedName>
    <definedName name="lifttype" localSheetId="7">[1]标准配置!$A$3:$A$6</definedName>
    <definedName name="lifttype" localSheetId="6">[1]标准配置!$A$3:$A$6</definedName>
    <definedName name="lifttype">标准配置!$A$3:$A$6</definedName>
    <definedName name="_xlnm.Print_Area" localSheetId="0">Home!$A$1:$O$30</definedName>
    <definedName name="_xlnm.Print_Area" localSheetId="2">'轿厢&gt;井道'!$A$1:$H$173</definedName>
  </definedNames>
  <calcPr calcId="181029"/>
</workbook>
</file>

<file path=xl/calcChain.xml><?xml version="1.0" encoding="utf-8"?>
<calcChain xmlns="http://schemas.openxmlformats.org/spreadsheetml/2006/main">
  <c r="H117" i="17" l="1"/>
  <c r="G117" i="17"/>
  <c r="D117" i="17"/>
  <c r="H115" i="17"/>
  <c r="G115" i="17"/>
  <c r="E115" i="17"/>
  <c r="C115" i="17"/>
  <c r="A110" i="17"/>
  <c r="H105" i="17"/>
  <c r="F105" i="17"/>
  <c r="H104" i="17"/>
  <c r="G104" i="17"/>
  <c r="F104" i="17"/>
  <c r="D104" i="17"/>
  <c r="B104" i="17"/>
  <c r="H103" i="17"/>
  <c r="G103" i="17"/>
  <c r="F103" i="17"/>
  <c r="D103" i="17"/>
  <c r="B103" i="17"/>
  <c r="D97" i="17"/>
  <c r="B97" i="17"/>
  <c r="H96" i="17"/>
  <c r="G96" i="17"/>
  <c r="F96" i="17"/>
  <c r="D96" i="17"/>
  <c r="B96" i="17"/>
  <c r="E82" i="17"/>
  <c r="J81" i="17"/>
  <c r="I81" i="17"/>
  <c r="E81" i="17"/>
  <c r="E79" i="17"/>
  <c r="E78" i="17"/>
  <c r="E77" i="17"/>
  <c r="E76" i="17"/>
  <c r="E75" i="17"/>
  <c r="D48" i="17"/>
  <c r="C48" i="17"/>
  <c r="B48" i="17"/>
  <c r="D46" i="17"/>
  <c r="C46" i="17"/>
  <c r="B46" i="17"/>
  <c r="D44" i="17"/>
  <c r="C44" i="17"/>
  <c r="B44" i="17"/>
  <c r="D42" i="17"/>
  <c r="C42" i="17"/>
  <c r="B42" i="17"/>
  <c r="D40" i="17"/>
  <c r="C40" i="17"/>
  <c r="B40" i="17"/>
  <c r="D39" i="17"/>
  <c r="C39" i="17"/>
  <c r="B39" i="17"/>
  <c r="D38" i="17"/>
  <c r="C38" i="17"/>
  <c r="B38" i="17"/>
  <c r="D37" i="17"/>
  <c r="C37" i="17"/>
  <c r="B37" i="17"/>
  <c r="D36" i="17"/>
  <c r="C36" i="17"/>
  <c r="B36" i="17"/>
  <c r="E22" i="17"/>
  <c r="E21" i="17"/>
  <c r="E19" i="17"/>
  <c r="E18" i="17"/>
  <c r="E17" i="17"/>
  <c r="E16" i="17"/>
  <c r="E15" i="17"/>
  <c r="D4" i="17"/>
  <c r="C4" i="17"/>
  <c r="B4" i="17"/>
  <c r="L160" i="16"/>
  <c r="BU104" i="16"/>
  <c r="BQ104" i="16"/>
  <c r="BP104" i="16"/>
  <c r="BI104" i="16"/>
  <c r="BE104" i="16"/>
  <c r="BD104" i="16"/>
  <c r="BU103" i="16"/>
  <c r="BQ103" i="16"/>
  <c r="BP103" i="16"/>
  <c r="BI103" i="16"/>
  <c r="BE103" i="16"/>
  <c r="BD103" i="16"/>
  <c r="BC103" i="16"/>
  <c r="BU102" i="16"/>
  <c r="BQ102" i="16"/>
  <c r="BP102" i="16"/>
  <c r="BO102" i="16"/>
  <c r="BN102" i="16"/>
  <c r="BI102" i="16"/>
  <c r="BE102" i="16"/>
  <c r="BD102" i="16"/>
  <c r="BC102" i="16"/>
  <c r="BB102" i="16"/>
  <c r="BU101" i="16"/>
  <c r="BQ101" i="16"/>
  <c r="BP101" i="16"/>
  <c r="BO101" i="16"/>
  <c r="BN101" i="16"/>
  <c r="BI101" i="16"/>
  <c r="BE101" i="16"/>
  <c r="BD101" i="16"/>
  <c r="BC101" i="16"/>
  <c r="BB101" i="16"/>
  <c r="BU100" i="16"/>
  <c r="BQ100" i="16"/>
  <c r="BP100" i="16"/>
  <c r="BO100" i="16"/>
  <c r="BN100" i="16"/>
  <c r="BI100" i="16"/>
  <c r="BE100" i="16"/>
  <c r="BD100" i="16"/>
  <c r="BC100" i="16"/>
  <c r="BB100" i="16"/>
  <c r="BU99" i="16"/>
  <c r="BQ99" i="16"/>
  <c r="BP99" i="16"/>
  <c r="BO99" i="16"/>
  <c r="BN99" i="16"/>
  <c r="BI99" i="16"/>
  <c r="BE99" i="16"/>
  <c r="BD99" i="16"/>
  <c r="BC99" i="16"/>
  <c r="BB99" i="16"/>
  <c r="BU95" i="16"/>
  <c r="BQ95" i="16"/>
  <c r="BP95" i="16"/>
  <c r="BI95" i="16"/>
  <c r="BE95" i="16"/>
  <c r="BD95" i="16"/>
  <c r="BU94" i="16"/>
  <c r="BQ94" i="16"/>
  <c r="BP94" i="16"/>
  <c r="BI94" i="16"/>
  <c r="BE94" i="16"/>
  <c r="BD94" i="16"/>
  <c r="BC94" i="16"/>
  <c r="BU93" i="16"/>
  <c r="BT93" i="16"/>
  <c r="BS93" i="16"/>
  <c r="BR93" i="16"/>
  <c r="BQ93" i="16"/>
  <c r="BP93" i="16"/>
  <c r="BO93" i="16"/>
  <c r="BN93" i="16"/>
  <c r="BI93" i="16"/>
  <c r="BH93" i="16"/>
  <c r="BG93" i="16"/>
  <c r="BF93" i="16"/>
  <c r="BE93" i="16"/>
  <c r="BD93" i="16"/>
  <c r="BC93" i="16"/>
  <c r="BB93" i="16"/>
  <c r="CF92" i="16"/>
  <c r="CE92" i="16"/>
  <c r="CD92" i="16"/>
  <c r="CC92" i="16"/>
  <c r="CB92" i="16"/>
  <c r="CA92" i="16"/>
  <c r="BZ92" i="16"/>
  <c r="BY92" i="16"/>
  <c r="BU92" i="16"/>
  <c r="BQ92" i="16"/>
  <c r="BP92" i="16"/>
  <c r="BO92" i="16"/>
  <c r="BN92" i="16"/>
  <c r="BI92" i="16"/>
  <c r="BE92" i="16"/>
  <c r="BD92" i="16"/>
  <c r="BC92" i="16"/>
  <c r="BB92" i="16"/>
  <c r="CF91" i="16"/>
  <c r="CE91" i="16"/>
  <c r="CD91" i="16"/>
  <c r="CC91" i="16"/>
  <c r="CB91" i="16"/>
  <c r="CA91" i="16"/>
  <c r="BZ91" i="16"/>
  <c r="BY91" i="16"/>
  <c r="BU91" i="16"/>
  <c r="BT91" i="16"/>
  <c r="BS91" i="16"/>
  <c r="BR91" i="16"/>
  <c r="BQ91" i="16"/>
  <c r="BP91" i="16"/>
  <c r="BO91" i="16"/>
  <c r="BN91" i="16"/>
  <c r="BI91" i="16"/>
  <c r="BH91" i="16"/>
  <c r="BG91" i="16"/>
  <c r="BF91" i="16"/>
  <c r="BE91" i="16"/>
  <c r="BD91" i="16"/>
  <c r="BC91" i="16"/>
  <c r="BB91" i="16"/>
  <c r="CF90" i="16"/>
  <c r="CE90" i="16"/>
  <c r="CD90" i="16"/>
  <c r="CC90" i="16"/>
  <c r="CB90" i="16"/>
  <c r="CA90" i="16"/>
  <c r="BZ90" i="16"/>
  <c r="BY90" i="16"/>
  <c r="BU90" i="16"/>
  <c r="BT90" i="16"/>
  <c r="BS90" i="16"/>
  <c r="BR90" i="16"/>
  <c r="BQ90" i="16"/>
  <c r="BP90" i="16"/>
  <c r="BO90" i="16"/>
  <c r="BN90" i="16"/>
  <c r="BI90" i="16"/>
  <c r="BH90" i="16"/>
  <c r="BG90" i="16"/>
  <c r="BF90" i="16"/>
  <c r="BE90" i="16"/>
  <c r="BD90" i="16"/>
  <c r="BC90" i="16"/>
  <c r="BB90" i="16"/>
  <c r="BE88" i="16"/>
  <c r="BQ86" i="16"/>
  <c r="BE85" i="16"/>
  <c r="BD85" i="16"/>
  <c r="BC85" i="16"/>
  <c r="BQ81" i="16"/>
  <c r="BP81" i="16"/>
  <c r="BI81" i="16"/>
  <c r="BE81" i="16"/>
  <c r="BD81" i="16"/>
  <c r="BE80" i="16"/>
  <c r="BD80" i="16"/>
  <c r="BC80" i="16"/>
  <c r="BH53" i="16"/>
  <c r="BG53" i="16"/>
  <c r="BF53" i="16"/>
  <c r="CF47" i="16"/>
  <c r="CE47" i="16"/>
  <c r="CD47" i="16"/>
  <c r="CC47" i="16"/>
  <c r="CB47" i="16"/>
  <c r="CA47" i="16"/>
  <c r="BZ47" i="16"/>
  <c r="BY47" i="16"/>
  <c r="BU47" i="16"/>
  <c r="BT47" i="16"/>
  <c r="BS47" i="16"/>
  <c r="BR47" i="16"/>
  <c r="BQ47" i="16"/>
  <c r="BP47" i="16"/>
  <c r="BO47" i="16"/>
  <c r="BN47" i="16"/>
  <c r="BI47" i="16"/>
  <c r="BH47" i="16"/>
  <c r="BG47" i="16"/>
  <c r="BF47" i="16"/>
  <c r="BE47" i="16"/>
  <c r="BD47" i="16"/>
  <c r="BC47" i="16"/>
  <c r="AM47" i="16"/>
  <c r="AL47" i="16"/>
  <c r="AK47" i="16"/>
  <c r="AJ47" i="16"/>
  <c r="AI47" i="16"/>
  <c r="S47" i="16"/>
  <c r="R47" i="16"/>
  <c r="Q47" i="16"/>
  <c r="P47" i="16"/>
  <c r="O47" i="16"/>
  <c r="CE46" i="16"/>
  <c r="CD46" i="16"/>
  <c r="CC46" i="16"/>
  <c r="CB46" i="16"/>
  <c r="CA46" i="16"/>
  <c r="BZ46" i="16"/>
  <c r="BY46" i="16"/>
  <c r="BI46" i="16"/>
  <c r="BG46" i="16"/>
  <c r="BF46" i="16"/>
  <c r="BE46" i="16"/>
  <c r="BD46" i="16"/>
  <c r="BC46" i="16"/>
  <c r="BB46" i="16"/>
  <c r="G44" i="16"/>
  <c r="F44" i="16"/>
  <c r="CF39" i="16"/>
  <c r="CE39" i="16"/>
  <c r="CD39" i="16"/>
  <c r="CC39" i="16"/>
  <c r="CB39" i="16"/>
  <c r="CA39" i="16"/>
  <c r="BZ39" i="16"/>
  <c r="BY39" i="16"/>
  <c r="BU39" i="16"/>
  <c r="BT39" i="16"/>
  <c r="BS39" i="16"/>
  <c r="BR39" i="16"/>
  <c r="BQ39" i="16"/>
  <c r="BP39" i="16"/>
  <c r="BO39" i="16"/>
  <c r="BN39" i="16"/>
  <c r="BI39" i="16"/>
  <c r="BH39" i="16"/>
  <c r="BG39" i="16"/>
  <c r="BF39" i="16"/>
  <c r="BE39" i="16"/>
  <c r="BD39" i="16"/>
  <c r="BC39" i="16"/>
  <c r="AM39" i="16"/>
  <c r="AL39" i="16"/>
  <c r="AK39" i="16"/>
  <c r="AJ39" i="16"/>
  <c r="AI39" i="16"/>
  <c r="S39" i="16"/>
  <c r="R39" i="16"/>
  <c r="Q39" i="16"/>
  <c r="P39" i="16"/>
  <c r="O39" i="16"/>
  <c r="CE38" i="16"/>
  <c r="CD38" i="16"/>
  <c r="CC38" i="16"/>
  <c r="CB38" i="16"/>
  <c r="CA38" i="16"/>
  <c r="BZ38" i="16"/>
  <c r="BY38" i="16"/>
  <c r="BI38" i="16"/>
  <c r="BH38" i="16"/>
  <c r="BG38" i="16"/>
  <c r="BF38" i="16"/>
  <c r="BE38" i="16"/>
  <c r="BD38" i="16"/>
  <c r="BC38" i="16"/>
  <c r="BB38" i="16"/>
  <c r="BP34" i="16"/>
  <c r="BD34" i="16"/>
  <c r="BE33" i="16"/>
  <c r="BD33" i="16"/>
  <c r="BC33" i="16"/>
  <c r="BQ29" i="16"/>
  <c r="BI29" i="16"/>
  <c r="BE29" i="16"/>
  <c r="BD29" i="16"/>
  <c r="BE28" i="16"/>
  <c r="BC28" i="16"/>
  <c r="G25" i="16"/>
  <c r="BQ24" i="16"/>
  <c r="BI24" i="16"/>
  <c r="BE24" i="16"/>
  <c r="BD24" i="16"/>
  <c r="G24" i="16"/>
  <c r="BE23" i="16"/>
  <c r="BC23" i="16"/>
  <c r="G22" i="16"/>
  <c r="F22" i="16"/>
  <c r="L3" i="16"/>
  <c r="G166" i="1"/>
  <c r="T163" i="1"/>
  <c r="S163" i="1"/>
  <c r="R163" i="1"/>
  <c r="N163" i="1"/>
  <c r="M163" i="1"/>
  <c r="L163" i="1"/>
  <c r="K163" i="1"/>
  <c r="G163" i="1"/>
  <c r="B163" i="1"/>
  <c r="Q162" i="1"/>
  <c r="P162" i="1"/>
  <c r="O162" i="1"/>
  <c r="N162" i="1"/>
  <c r="M162" i="1"/>
  <c r="B160" i="1" s="1"/>
  <c r="L162" i="1"/>
  <c r="K162" i="1"/>
  <c r="B162" i="1"/>
  <c r="Q161" i="1"/>
  <c r="P161" i="1"/>
  <c r="O161" i="1"/>
  <c r="N161" i="1"/>
  <c r="M161" i="1"/>
  <c r="B159" i="1" s="1"/>
  <c r="L161" i="1"/>
  <c r="K161" i="1"/>
  <c r="B161" i="1"/>
  <c r="F165" i="1" s="1"/>
  <c r="Q160" i="1"/>
  <c r="P160" i="1"/>
  <c r="O160" i="1"/>
  <c r="M160" i="1"/>
  <c r="K160" i="1"/>
  <c r="Q158" i="1"/>
  <c r="P158" i="1"/>
  <c r="Y17" i="2" s="1"/>
  <c r="O158" i="1"/>
  <c r="X17" i="2" s="1"/>
  <c r="N158" i="1"/>
  <c r="M158" i="1"/>
  <c r="B156" i="1" s="1"/>
  <c r="L158" i="1"/>
  <c r="K158" i="1"/>
  <c r="G158" i="1"/>
  <c r="B158" i="1"/>
  <c r="Q157" i="1"/>
  <c r="Z16" i="2" s="1"/>
  <c r="P157" i="1"/>
  <c r="O157" i="1"/>
  <c r="M157" i="1"/>
  <c r="B155" i="1" s="1"/>
  <c r="K157" i="1"/>
  <c r="G157" i="1"/>
  <c r="B157" i="1"/>
  <c r="T156" i="1"/>
  <c r="S156" i="1"/>
  <c r="R156" i="1"/>
  <c r="G156" i="1"/>
  <c r="T155" i="1"/>
  <c r="S155" i="1"/>
  <c r="R155" i="1"/>
  <c r="Q155" i="1"/>
  <c r="O155" i="1"/>
  <c r="G155" i="1"/>
  <c r="Q154" i="1"/>
  <c r="P154" i="1"/>
  <c r="O154" i="1"/>
  <c r="N154" i="1"/>
  <c r="M154" i="1"/>
  <c r="L154" i="1"/>
  <c r="K154" i="1"/>
  <c r="G154" i="1"/>
  <c r="Q153" i="1"/>
  <c r="P153" i="1"/>
  <c r="O153" i="1"/>
  <c r="N153" i="1"/>
  <c r="M153" i="1"/>
  <c r="B151" i="1" s="1"/>
  <c r="J29" i="2" s="1"/>
  <c r="L153" i="1"/>
  <c r="K153" i="1"/>
  <c r="G153" i="1"/>
  <c r="Q152" i="1"/>
  <c r="P152" i="1"/>
  <c r="O152" i="1"/>
  <c r="N152" i="1"/>
  <c r="M152" i="1"/>
  <c r="L152" i="1"/>
  <c r="K152" i="1"/>
  <c r="G152" i="1"/>
  <c r="B152" i="1"/>
  <c r="T151" i="1"/>
  <c r="S151" i="1"/>
  <c r="R151" i="1"/>
  <c r="Q151" i="1"/>
  <c r="P151" i="1"/>
  <c r="O151" i="1"/>
  <c r="N151" i="1"/>
  <c r="M151" i="1"/>
  <c r="L151" i="1"/>
  <c r="K151" i="1"/>
  <c r="G151" i="1"/>
  <c r="L149" i="1"/>
  <c r="B148" i="1"/>
  <c r="G146" i="1"/>
  <c r="F146" i="1"/>
  <c r="C146" i="1"/>
  <c r="B146" i="1"/>
  <c r="D145" i="1"/>
  <c r="C145" i="1" s="1"/>
  <c r="F145" i="1" s="1"/>
  <c r="G145" i="1" s="1"/>
  <c r="B145" i="1"/>
  <c r="D144" i="1"/>
  <c r="C144" i="1"/>
  <c r="F144" i="1" s="1"/>
  <c r="G144" i="1" s="1"/>
  <c r="B144" i="1"/>
  <c r="G143" i="1"/>
  <c r="C143" i="1"/>
  <c r="B143" i="1"/>
  <c r="D139" i="1"/>
  <c r="B135" i="1"/>
  <c r="D134" i="1"/>
  <c r="E124" i="1"/>
  <c r="E123" i="1"/>
  <c r="E121" i="1"/>
  <c r="B119" i="1"/>
  <c r="F112" i="1"/>
  <c r="B112" i="1"/>
  <c r="G102" i="1"/>
  <c r="B100" i="1"/>
  <c r="B99" i="1"/>
  <c r="B98" i="1"/>
  <c r="B97" i="1"/>
  <c r="B96" i="1"/>
  <c r="B95" i="1"/>
  <c r="B94" i="1"/>
  <c r="E80" i="1"/>
  <c r="E81" i="1" s="1"/>
  <c r="B134" i="1" s="1"/>
  <c r="C134" i="1" s="1"/>
  <c r="E77" i="1"/>
  <c r="E84" i="1" s="1"/>
  <c r="G75" i="1"/>
  <c r="E75" i="1"/>
  <c r="E76" i="1" s="1"/>
  <c r="E72" i="1"/>
  <c r="E71" i="1"/>
  <c r="B69" i="1"/>
  <c r="B113" i="1" s="1"/>
  <c r="B68" i="1"/>
  <c r="C62" i="1"/>
  <c r="E64" i="1" s="1"/>
  <c r="C61" i="1"/>
  <c r="E65" i="1" s="1"/>
  <c r="B56" i="1"/>
  <c r="B52" i="1"/>
  <c r="C51" i="1"/>
  <c r="F49" i="1"/>
  <c r="D37" i="1"/>
  <c r="B37" i="1"/>
  <c r="C39" i="1" s="1"/>
  <c r="B36" i="1"/>
  <c r="C33" i="1"/>
  <c r="B33" i="1"/>
  <c r="C32" i="1"/>
  <c r="B27" i="1"/>
  <c r="B26" i="1"/>
  <c r="B25" i="1"/>
  <c r="B24" i="1"/>
  <c r="B23" i="1"/>
  <c r="Q22" i="1"/>
  <c r="Z14" i="2" s="1"/>
  <c r="P22" i="1"/>
  <c r="Y14" i="2" s="1"/>
  <c r="O22" i="1"/>
  <c r="X14" i="2" s="1"/>
  <c r="B22" i="1"/>
  <c r="Q21" i="1"/>
  <c r="Q156" i="1" s="1"/>
  <c r="P21" i="1"/>
  <c r="Y13" i="2" s="1"/>
  <c r="O21" i="1"/>
  <c r="O156" i="1" s="1"/>
  <c r="N21" i="1"/>
  <c r="N156" i="1" s="1"/>
  <c r="M21" i="1"/>
  <c r="M156" i="1" s="1"/>
  <c r="B154" i="1" s="1"/>
  <c r="L21" i="1"/>
  <c r="L156" i="1" s="1"/>
  <c r="K21" i="1"/>
  <c r="K156" i="1" s="1"/>
  <c r="C21" i="1"/>
  <c r="B21" i="1"/>
  <c r="Q20" i="1"/>
  <c r="Z12" i="2" s="1"/>
  <c r="P20" i="1"/>
  <c r="Y12" i="2" s="1"/>
  <c r="O20" i="1"/>
  <c r="X12" i="2" s="1"/>
  <c r="N20" i="1"/>
  <c r="N155" i="1" s="1"/>
  <c r="M20" i="1"/>
  <c r="V12" i="2" s="1"/>
  <c r="R12" i="2" s="1"/>
  <c r="L20" i="1"/>
  <c r="L155" i="1" s="1"/>
  <c r="K20" i="1"/>
  <c r="K155" i="1" s="1"/>
  <c r="C20" i="1"/>
  <c r="B20" i="1"/>
  <c r="Q19" i="1"/>
  <c r="P19" i="1"/>
  <c r="O19" i="1"/>
  <c r="N19" i="1"/>
  <c r="M19" i="1"/>
  <c r="C172" i="1" s="1"/>
  <c r="E173" i="1" s="1"/>
  <c r="L19" i="1"/>
  <c r="K19" i="1"/>
  <c r="B19" i="1"/>
  <c r="Q18" i="1"/>
  <c r="P18" i="1"/>
  <c r="O18" i="1"/>
  <c r="N18" i="1"/>
  <c r="M18" i="1"/>
  <c r="L18" i="1"/>
  <c r="K18" i="1"/>
  <c r="C18" i="1"/>
  <c r="B18" i="1"/>
  <c r="B17" i="1"/>
  <c r="P16" i="1"/>
  <c r="P17" i="1" s="1"/>
  <c r="L16" i="1"/>
  <c r="B16" i="1"/>
  <c r="O15" i="1"/>
  <c r="L15" i="1"/>
  <c r="K15" i="1"/>
  <c r="C15" i="1"/>
  <c r="B15" i="1"/>
  <c r="Q14" i="1"/>
  <c r="Q15" i="1" s="1"/>
  <c r="P14" i="1"/>
  <c r="P15" i="1" s="1"/>
  <c r="O14" i="1"/>
  <c r="B14" i="1"/>
  <c r="Q13" i="1"/>
  <c r="P13" i="1"/>
  <c r="O13" i="1"/>
  <c r="N13" i="1"/>
  <c r="M13" i="1"/>
  <c r="B57" i="1" s="1"/>
  <c r="L13" i="1"/>
  <c r="K13" i="1"/>
  <c r="E13" i="1"/>
  <c r="B13" i="1"/>
  <c r="G12" i="1"/>
  <c r="B12" i="1"/>
  <c r="B3" i="20" a="1"/>
  <c r="B3" i="20"/>
  <c r="AE33" i="2"/>
  <c r="Y33" i="2"/>
  <c r="X33" i="2"/>
  <c r="W33" i="2"/>
  <c r="V33" i="2"/>
  <c r="R33" i="2"/>
  <c r="Q33" i="2"/>
  <c r="P33" i="2"/>
  <c r="O33" i="2"/>
  <c r="N33" i="2"/>
  <c r="M33" i="2"/>
  <c r="L33" i="2"/>
  <c r="K33" i="2"/>
  <c r="J33" i="2"/>
  <c r="I33" i="2"/>
  <c r="H33" i="2"/>
  <c r="G33" i="2"/>
  <c r="F33" i="2"/>
  <c r="E33" i="2"/>
  <c r="D33" i="2"/>
  <c r="C33" i="2"/>
  <c r="B33" i="2"/>
  <c r="A33" i="2"/>
  <c r="J28" i="2"/>
  <c r="D27" i="2"/>
  <c r="I26" i="2"/>
  <c r="G26" i="2"/>
  <c r="E26" i="2"/>
  <c r="C26" i="2"/>
  <c r="N21" i="2"/>
  <c r="I19" i="2"/>
  <c r="G19" i="2"/>
  <c r="Y18" i="2"/>
  <c r="X18" i="2"/>
  <c r="R18" i="2"/>
  <c r="N18" i="2"/>
  <c r="AC17" i="2"/>
  <c r="AB17" i="2"/>
  <c r="AA17" i="2"/>
  <c r="Z17" i="2"/>
  <c r="W17" i="2"/>
  <c r="V17" i="2"/>
  <c r="R17" i="2" s="1"/>
  <c r="U17" i="2"/>
  <c r="T17" i="2"/>
  <c r="Y16" i="2"/>
  <c r="X16" i="2"/>
  <c r="V16" i="2"/>
  <c r="R16" i="2" s="1"/>
  <c r="T16" i="2"/>
  <c r="C16" i="2"/>
  <c r="X15" i="2"/>
  <c r="R15" i="2"/>
  <c r="AC14" i="2"/>
  <c r="AB14" i="2"/>
  <c r="AA14" i="2"/>
  <c r="W14" i="2"/>
  <c r="V14" i="2"/>
  <c r="U14" i="2"/>
  <c r="T14" i="2"/>
  <c r="R14" i="2"/>
  <c r="AC13" i="2"/>
  <c r="AB13" i="2"/>
  <c r="AA13" i="2"/>
  <c r="Z13" i="2"/>
  <c r="X13" i="2"/>
  <c r="W13" i="2"/>
  <c r="U13" i="2"/>
  <c r="T13" i="2"/>
  <c r="AC12" i="2"/>
  <c r="AB12" i="2"/>
  <c r="AA12" i="2"/>
  <c r="U12" i="2"/>
  <c r="T12" i="2"/>
  <c r="R9" i="2"/>
  <c r="AD8" i="2"/>
  <c r="R8" i="2"/>
  <c r="AC7" i="2"/>
  <c r="AB7" i="2"/>
  <c r="AA7" i="2"/>
  <c r="Z7" i="2"/>
  <c r="Y7" i="2"/>
  <c r="X7" i="2"/>
  <c r="W7" i="2"/>
  <c r="V7" i="2"/>
  <c r="U7" i="2"/>
  <c r="T7" i="2"/>
  <c r="R7" i="2"/>
  <c r="M155" i="1" l="1"/>
  <c r="B153" i="1" s="1"/>
  <c r="P155" i="1"/>
  <c r="V13" i="2"/>
  <c r="R13" i="2" s="1"/>
  <c r="C169" i="1"/>
  <c r="J27" i="2"/>
  <c r="P156" i="1"/>
  <c r="J104" i="1"/>
  <c r="F76" i="1"/>
  <c r="G76" i="1" s="1"/>
  <c r="E79" i="1"/>
  <c r="E83" i="1"/>
  <c r="E88" i="1" s="1"/>
  <c r="C45" i="1"/>
  <c r="K44" i="1"/>
  <c r="L44" i="1"/>
  <c r="J44" i="1"/>
  <c r="C43" i="1"/>
  <c r="C48" i="1" s="1"/>
  <c r="B49" i="1" s="1"/>
  <c r="B50" i="1" s="1"/>
  <c r="D29" i="2" s="1"/>
  <c r="G104" i="1"/>
  <c r="G106" i="1" s="1"/>
  <c r="E89" i="1"/>
  <c r="F77" i="1"/>
  <c r="G77" i="1" s="1"/>
  <c r="F134" i="1"/>
  <c r="G134" i="1"/>
  <c r="J30" i="2" s="1"/>
  <c r="E115" i="1"/>
  <c r="B138" i="1" s="1"/>
  <c r="O163" i="1"/>
  <c r="P163" i="1"/>
  <c r="Q163" i="1"/>
  <c r="E116" i="1"/>
  <c r="B139" i="1" s="1"/>
  <c r="C139" i="1" s="1"/>
  <c r="W12" i="2"/>
  <c r="B44" i="1" l="1"/>
  <c r="D44" i="1" s="1"/>
  <c r="C46" i="1" s="1"/>
  <c r="E109" i="1"/>
  <c r="E129" i="1" s="1"/>
  <c r="E108" i="1"/>
  <c r="E128" i="1" s="1"/>
  <c r="D138" i="1"/>
  <c r="G46" i="1"/>
  <c r="G161" i="1"/>
  <c r="G165" i="1" s="1"/>
  <c r="B53" i="1"/>
  <c r="M21" i="2"/>
  <c r="D28" i="2" s="1"/>
  <c r="F139" i="1"/>
  <c r="G139" i="1"/>
  <c r="C138" i="1"/>
  <c r="J142" i="1"/>
  <c r="E91" i="1"/>
  <c r="G159" i="1" s="1"/>
  <c r="B165" i="1" s="1"/>
  <c r="C53" i="1" l="1"/>
  <c r="J26" i="2"/>
  <c r="G138" i="1"/>
  <c r="G141" i="1" s="1"/>
  <c r="F138" i="1"/>
  <c r="E131" i="1"/>
  <c r="G160" i="1" s="1"/>
  <c r="B166" i="1" s="1"/>
  <c r="E141" i="1" l="1"/>
  <c r="J25" i="2"/>
  <c r="J24" i="2" l="1"/>
  <c r="AD33" i="2"/>
  <c r="E25" i="2" l="1"/>
  <c r="AA33" i="2" s="1"/>
  <c r="C22" i="2"/>
  <c r="T33" i="2" s="1"/>
  <c r="C25" i="2"/>
  <c r="Z33" i="2" s="1"/>
  <c r="E22" i="2"/>
  <c r="U33" i="2" s="1"/>
  <c r="I25" i="2"/>
  <c r="AC33" i="2" s="1"/>
  <c r="G25" i="2"/>
  <c r="AB3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Midea</author>
  </authors>
  <commentList>
    <comment ref="B3" authorId="0" shapeId="0" xr:uid="{00000000-0006-0000-0100-000001000000}">
      <text>
        <r>
          <rPr>
            <b/>
            <sz val="9"/>
            <rFont val="宋体"/>
            <family val="3"/>
            <charset val="134"/>
          </rPr>
          <t>Midea:</t>
        </r>
        <r>
          <rPr>
            <sz val="9"/>
            <rFont val="宋体"/>
            <family val="3"/>
            <charset val="134"/>
          </rPr>
          <t xml:space="preserve">
注意该公式有数组运算符{}，点击编辑后注意补上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Midea</author>
  </authors>
  <commentList>
    <comment ref="C15" authorId="0" shapeId="0" xr:uid="{00000000-0006-0000-0200-000001000000}">
      <text>
        <r>
          <rPr>
            <b/>
            <sz val="9"/>
            <rFont val="宋体"/>
            <family val="3"/>
            <charset val="134"/>
          </rPr>
          <t>Midea:</t>
        </r>
        <r>
          <rPr>
            <sz val="9"/>
            <rFont val="宋体"/>
            <family val="3"/>
            <charset val="134"/>
          </rPr>
          <t xml:space="preserve">
判断是否对重后置</t>
        </r>
      </text>
    </comment>
    <comment ref="C18" authorId="0" shapeId="0" xr:uid="{00000000-0006-0000-0200-000002000000}">
      <text>
        <r>
          <rPr>
            <b/>
            <sz val="9"/>
            <rFont val="宋体"/>
            <family val="3"/>
            <charset val="134"/>
          </rPr>
          <t>Midea:</t>
        </r>
        <r>
          <rPr>
            <sz val="9"/>
            <rFont val="宋体"/>
            <family val="3"/>
            <charset val="134"/>
          </rPr>
          <t xml:space="preserve">
列号</t>
        </r>
      </text>
    </comment>
    <comment ref="C33" authorId="0" shapeId="0" xr:uid="{00000000-0006-0000-0200-000003000000}">
      <text>
        <r>
          <rPr>
            <b/>
            <sz val="9"/>
            <rFont val="宋体"/>
            <family val="3"/>
            <charset val="134"/>
          </rPr>
          <t>Midea:</t>
        </r>
        <r>
          <rPr>
            <sz val="9"/>
            <rFont val="宋体"/>
            <family val="3"/>
            <charset val="134"/>
          </rPr>
          <t xml:space="preserve">
客梯不存在开尽门的说法，其轿厢深度CD不包含门楣尺寸</t>
        </r>
      </text>
    </comment>
    <comment ref="B37" authorId="0" shapeId="0" xr:uid="{00000000-0006-0000-0200-000004000000}">
      <text>
        <r>
          <rPr>
            <b/>
            <sz val="9"/>
            <rFont val="宋体"/>
            <family val="3"/>
            <charset val="134"/>
          </rPr>
          <t>Midea:</t>
        </r>
        <r>
          <rPr>
            <sz val="9"/>
            <rFont val="宋体"/>
            <family val="3"/>
            <charset val="134"/>
          </rPr>
          <t xml:space="preserve">
威特旁开门时，前壁厚度非标为50使前壁至门板距离小于100</t>
        </r>
      </text>
    </comment>
    <comment ref="C48" authorId="0" shapeId="0" xr:uid="{00000000-0006-0000-0200-000005000000}">
      <text>
        <r>
          <rPr>
            <b/>
            <sz val="9"/>
            <rFont val="宋体"/>
            <family val="3"/>
            <charset val="134"/>
          </rPr>
          <t>Midea:</t>
        </r>
        <r>
          <rPr>
            <sz val="9"/>
            <rFont val="宋体"/>
            <family val="3"/>
            <charset val="134"/>
          </rPr>
          <t xml:space="preserve">
实际轿厢面积对应的乘客人数</t>
        </r>
      </text>
    </comment>
    <comment ref="F49" authorId="0" shapeId="0" xr:uid="{00000000-0006-0000-0200-000006000000}">
      <text>
        <r>
          <rPr>
            <b/>
            <sz val="9"/>
            <rFont val="宋体"/>
            <family val="3"/>
            <charset val="134"/>
          </rPr>
          <t>Midea:</t>
        </r>
        <r>
          <rPr>
            <sz val="9"/>
            <rFont val="宋体"/>
            <family val="3"/>
            <charset val="134"/>
          </rPr>
          <t xml:space="preserve">
额定载重对应的标准乘客人数</t>
        </r>
      </text>
    </comment>
    <comment ref="B50" authorId="0" shapeId="0" xr:uid="{00000000-0006-0000-0200-000007000000}">
      <text>
        <r>
          <rPr>
            <b/>
            <sz val="9"/>
            <rFont val="宋体"/>
            <family val="3"/>
            <charset val="134"/>
          </rPr>
          <t>Midea:</t>
        </r>
        <r>
          <rPr>
            <sz val="9"/>
            <rFont val="宋体"/>
            <family val="3"/>
            <charset val="134"/>
          </rPr>
          <t xml:space="preserve">
轿厢面积不足时提示减少乘客人数</t>
        </r>
      </text>
    </comment>
    <comment ref="B52" authorId="0" shapeId="0" xr:uid="{00000000-0006-0000-0200-000008000000}">
      <text>
        <r>
          <rPr>
            <b/>
            <sz val="9"/>
            <rFont val="宋体"/>
            <family val="3"/>
            <charset val="134"/>
          </rPr>
          <t>Midea:</t>
        </r>
        <r>
          <rPr>
            <sz val="9"/>
            <rFont val="宋体"/>
            <family val="3"/>
            <charset val="134"/>
          </rPr>
          <t xml:space="preserve">
当不允许超标时，最大载重就是输入参数中的载重</t>
        </r>
      </text>
    </comment>
    <comment ref="C53" authorId="0" shapeId="0" xr:uid="{00000000-0006-0000-0200-000009000000}">
      <text>
        <r>
          <rPr>
            <b/>
            <sz val="9"/>
            <rFont val="宋体"/>
            <family val="3"/>
            <charset val="134"/>
          </rPr>
          <t>Midea:</t>
        </r>
        <r>
          <rPr>
            <sz val="9"/>
            <rFont val="宋体"/>
            <family val="3"/>
            <charset val="134"/>
          </rPr>
          <t xml:space="preserve">
轿厢面积超标警告</t>
        </r>
      </text>
    </comment>
    <comment ref="B56" authorId="0" shapeId="0" xr:uid="{00000000-0006-0000-0200-00000A000000}">
      <text>
        <r>
          <rPr>
            <b/>
            <sz val="9"/>
            <rFont val="宋体"/>
            <family val="3"/>
            <charset val="134"/>
          </rPr>
          <t>Midea:</t>
        </r>
        <r>
          <rPr>
            <sz val="9"/>
            <rFont val="宋体"/>
            <family val="3"/>
            <charset val="134"/>
          </rPr>
          <t xml:space="preserve">
注：ST&gt;0时指允许井道有负偏差，但公司图纸体系不允许有负偏差，即ST=0</t>
        </r>
      </text>
    </comment>
    <comment ref="E79" authorId="0" shapeId="0" xr:uid="{00000000-0006-0000-0200-00000B000000}">
      <text>
        <r>
          <rPr>
            <b/>
            <sz val="9"/>
            <rFont val="宋体"/>
            <family val="3"/>
            <charset val="134"/>
          </rPr>
          <t>Midea:</t>
        </r>
        <r>
          <rPr>
            <sz val="9"/>
            <rFont val="宋体"/>
            <family val="3"/>
            <charset val="134"/>
          </rPr>
          <t xml:space="preserve">
公式含义：当门头左/右侧对应端点坐标超出了轿厢对应的端点坐标，且整个门头所需最小井道宽小于轿厢所需的最小井道宽时，该公式计算出偏移门头使实际所需井道宽更小时的绝对值最小门偏心值。正代表向右偏，负代表向左偏。</t>
        </r>
      </text>
    </comment>
    <comment ref="G104" authorId="0" shapeId="0" xr:uid="{00000000-0006-0000-0200-00000C000000}">
      <text>
        <r>
          <rPr>
            <b/>
            <sz val="9"/>
            <rFont val="宋体"/>
            <family val="3"/>
            <charset val="134"/>
          </rPr>
          <t>Midea:</t>
        </r>
        <r>
          <rPr>
            <sz val="9"/>
            <rFont val="宋体"/>
            <family val="3"/>
            <charset val="134"/>
          </rPr>
          <t xml:space="preserve">
KTVM公式含义：计算出当对重导轨支架与门机发生干涉时的最大KTV偏差值，偏移轿厢导轨中心以便尽可能避免干涉；若无干涉，则不偏移。</t>
        </r>
      </text>
    </comment>
    <comment ref="J104" authorId="0" shapeId="0" xr:uid="{00000000-0006-0000-0200-00000D000000}">
      <text>
        <r>
          <rPr>
            <b/>
            <sz val="9"/>
            <rFont val="宋体"/>
            <family val="3"/>
            <charset val="134"/>
          </rPr>
          <t>Midea:</t>
        </r>
        <r>
          <rPr>
            <sz val="9"/>
            <rFont val="宋体"/>
            <family val="3"/>
            <charset val="134"/>
          </rPr>
          <t xml:space="preserve">
值∎：代表对重与门机所需空间的干涉值，若为正则代表已干涉，若为负则不会干涉。
注：不能删除该单元格！</t>
        </r>
      </text>
    </comment>
    <comment ref="F112" authorId="0" shapeId="0" xr:uid="{00000000-0006-0000-0200-00000E000000}">
      <text>
        <r>
          <rPr>
            <b/>
            <sz val="9"/>
            <rFont val="宋体"/>
            <family val="3"/>
            <charset val="134"/>
          </rPr>
          <t>Midea:</t>
        </r>
        <r>
          <rPr>
            <sz val="9"/>
            <rFont val="宋体"/>
            <family val="3"/>
            <charset val="134"/>
          </rPr>
          <t xml:space="preserve">
对重导轨支架直撑离墙间隙</t>
        </r>
      </text>
    </comment>
    <comment ref="E141" authorId="0" shapeId="0" xr:uid="{00000000-0006-0000-0200-00000F000000}">
      <text>
        <r>
          <rPr>
            <b/>
            <sz val="9"/>
            <rFont val="宋体"/>
            <family val="3"/>
            <charset val="134"/>
          </rPr>
          <t>Midea:</t>
        </r>
        <r>
          <rPr>
            <sz val="9"/>
            <rFont val="宋体"/>
            <family val="3"/>
            <charset val="134"/>
          </rPr>
          <t xml:space="preserve">
公式能计算出已干涉时要调整的最小CD；不能在未干涉时计算出理论最小CD</t>
        </r>
      </text>
    </comment>
    <comment ref="G143" authorId="0" shapeId="0" xr:uid="{00000000-0006-0000-0200-000010000000}">
      <text>
        <r>
          <rPr>
            <b/>
            <sz val="9"/>
            <rFont val="宋体"/>
            <family val="3"/>
            <charset val="134"/>
          </rPr>
          <t>Midea:</t>
        </r>
        <r>
          <rPr>
            <sz val="9"/>
            <rFont val="宋体"/>
            <family val="3"/>
            <charset val="134"/>
          </rPr>
          <t xml:space="preserve">
判断轿厢高-开门高差值的合理性</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Midea</author>
  </authors>
  <commentList>
    <comment ref="E22" authorId="0" shapeId="0" xr:uid="{00000000-0006-0000-0400-000001000000}">
      <text>
        <r>
          <rPr>
            <b/>
            <sz val="9"/>
            <rFont val="宋体"/>
            <family val="3"/>
            <charset val="134"/>
          </rPr>
          <t>Midea:</t>
        </r>
        <r>
          <rPr>
            <sz val="9"/>
            <rFont val="宋体"/>
            <family val="3"/>
            <charset val="134"/>
          </rPr>
          <t xml:space="preserve">
前壁厚50</t>
        </r>
      </text>
    </comment>
    <comment ref="C69" authorId="0" shapeId="0" xr:uid="{00000000-0006-0000-0400-000002000000}">
      <text>
        <r>
          <rPr>
            <b/>
            <sz val="9"/>
            <rFont val="宋体"/>
            <family val="3"/>
            <charset val="134"/>
          </rPr>
          <t>Midea:
威特是125，易升是140，取了大的</t>
        </r>
      </text>
    </comment>
    <comment ref="G75" authorId="0" shapeId="0" xr:uid="{00000000-0006-0000-0400-000003000000}">
      <text>
        <r>
          <rPr>
            <b/>
            <sz val="9"/>
            <rFont val="宋体"/>
            <family val="3"/>
            <charset val="134"/>
          </rPr>
          <t>Midea:</t>
        </r>
        <r>
          <rPr>
            <sz val="9"/>
            <rFont val="宋体"/>
            <family val="3"/>
            <charset val="134"/>
          </rPr>
          <t xml:space="preserve">
ΔW=结构尺寸+27的缝隙</t>
        </r>
      </text>
    </comment>
    <comment ref="J78" authorId="0" shapeId="0" xr:uid="{00000000-0006-0000-0400-000004000000}">
      <text>
        <r>
          <rPr>
            <b/>
            <sz val="9"/>
            <rFont val="宋体"/>
            <family val="3"/>
            <charset val="134"/>
          </rPr>
          <t>Midea:</t>
        </r>
        <r>
          <rPr>
            <sz val="9"/>
            <rFont val="宋体"/>
            <family val="3"/>
            <charset val="134"/>
          </rPr>
          <t xml:space="preserve">
S3 170门尺寸一般巨大，多预留一点给门立柱支架安装</t>
        </r>
      </text>
    </comment>
    <comment ref="I81" authorId="0" shapeId="0" xr:uid="{00000000-0006-0000-0400-000005000000}">
      <text>
        <r>
          <rPr>
            <b/>
            <sz val="9"/>
            <rFont val="宋体"/>
            <family val="3"/>
            <charset val="134"/>
          </rPr>
          <t>60数实际55</t>
        </r>
      </text>
    </comment>
    <comment ref="E82" authorId="0" shapeId="0" xr:uid="{00000000-0006-0000-0400-000006000000}">
      <text>
        <r>
          <rPr>
            <b/>
            <sz val="9"/>
            <rFont val="宋体"/>
            <family val="3"/>
            <charset val="134"/>
          </rPr>
          <t>Midea:</t>
        </r>
        <r>
          <rPr>
            <sz val="9"/>
            <rFont val="宋体"/>
            <family val="3"/>
            <charset val="134"/>
          </rPr>
          <t xml:space="preserve">
前壁厚50</t>
        </r>
      </text>
    </comment>
    <comment ref="F106" authorId="0" shapeId="0" xr:uid="{00000000-0006-0000-0400-000007000000}">
      <text>
        <r>
          <rPr>
            <b/>
            <sz val="9"/>
            <rFont val="宋体"/>
            <family val="3"/>
            <charset val="134"/>
          </rPr>
          <t>Midea:</t>
        </r>
        <r>
          <rPr>
            <sz val="9"/>
            <rFont val="宋体"/>
            <family val="3"/>
            <charset val="134"/>
          </rPr>
          <t xml:space="preserve">
按轿顶护栏按非标距离100以内定，可再少</t>
        </r>
      </text>
    </comment>
  </commentList>
</comments>
</file>

<file path=xl/sharedStrings.xml><?xml version="1.0" encoding="utf-8"?>
<sst xmlns="http://schemas.openxmlformats.org/spreadsheetml/2006/main" count="1924" uniqueCount="443">
  <si>
    <r>
      <rPr>
        <b/>
        <sz val="16"/>
        <color theme="1"/>
        <rFont val="黑体"/>
        <family val="3"/>
        <charset val="134"/>
      </rPr>
      <t>电梯土建尺寸规划</t>
    </r>
    <r>
      <rPr>
        <b/>
        <sz val="16"/>
        <color theme="1"/>
        <rFont val="Yu Gothic UI Light"/>
        <family val="2"/>
        <charset val="128"/>
      </rPr>
      <t xml:space="preserve">
</t>
    </r>
    <r>
      <rPr>
        <b/>
        <sz val="16"/>
        <color theme="1"/>
        <rFont val="Yu Gothic UI Semilight"/>
        <family val="2"/>
        <charset val="128"/>
      </rPr>
      <t>Reassuring Planning Tool (RPT)</t>
    </r>
  </si>
  <si>
    <t>Project Name :</t>
  </si>
  <si>
    <t>( Please Enter Here )</t>
  </si>
  <si>
    <t xml:space="preserve"> Input Parameter</t>
  </si>
  <si>
    <t>输入错误警告</t>
  </si>
  <si>
    <t>梯型码</t>
  </si>
  <si>
    <t>Lift Model</t>
  </si>
  <si>
    <r>
      <rPr>
        <sz val="10"/>
        <rFont val="Yu Gothic UI Semibold"/>
        <family val="2"/>
        <charset val="128"/>
      </rPr>
      <t>Capacity</t>
    </r>
    <r>
      <rPr>
        <sz val="10"/>
        <color theme="1" tint="0.249977111117893"/>
        <rFont val="Yu Gothic UI Semibold"/>
        <family val="2"/>
        <charset val="128"/>
      </rPr>
      <t xml:space="preserve"> </t>
    </r>
    <r>
      <rPr>
        <sz val="10"/>
        <color theme="9" tint="-0.499984740745262"/>
        <rFont val="Yu Gothic UI Semibold"/>
        <family val="2"/>
        <charset val="128"/>
      </rPr>
      <t>Q(kg)</t>
    </r>
  </si>
  <si>
    <r>
      <rPr>
        <sz val="10"/>
        <rFont val="Yu Gothic UI Semibold"/>
        <family val="2"/>
        <charset val="128"/>
      </rPr>
      <t xml:space="preserve">Speed </t>
    </r>
    <r>
      <rPr>
        <sz val="10"/>
        <color theme="9" tint="-0.499984740745262"/>
        <rFont val="Yu Gothic UI Semibold"/>
        <family val="2"/>
        <charset val="128"/>
      </rPr>
      <t>V(m/s)</t>
    </r>
  </si>
  <si>
    <r>
      <rPr>
        <sz val="10"/>
        <rFont val="Yu Gothic UI Semibold"/>
        <family val="2"/>
        <charset val="128"/>
      </rPr>
      <t xml:space="preserve">Travel Height </t>
    </r>
    <r>
      <rPr>
        <sz val="10"/>
        <color theme="9" tint="-0.499984740745262"/>
        <rFont val="Yu Gothic UI Semibold"/>
        <family val="2"/>
        <charset val="128"/>
      </rPr>
      <t>R(m)</t>
    </r>
  </si>
  <si>
    <t>不适用对重后置</t>
  </si>
  <si>
    <t>LTHW</t>
  </si>
  <si>
    <t>对重后置贯通门</t>
  </si>
  <si>
    <r>
      <rPr>
        <sz val="10"/>
        <rFont val="Yu Gothic UI Semibold"/>
        <family val="2"/>
        <charset val="128"/>
      </rPr>
      <t>Car Width</t>
    </r>
    <r>
      <rPr>
        <sz val="10"/>
        <color theme="1" tint="0.34998626667073579"/>
        <rFont val="Yu Gothic UI Semibold"/>
        <family val="2"/>
        <charset val="128"/>
      </rPr>
      <t xml:space="preserve"> </t>
    </r>
    <r>
      <rPr>
        <sz val="10"/>
        <color theme="9" tint="-0.499984740745262"/>
        <rFont val="Yu Gothic UI Semibold"/>
        <family val="2"/>
        <charset val="128"/>
      </rPr>
      <t>CW(mm)</t>
    </r>
  </si>
  <si>
    <r>
      <rPr>
        <sz val="10"/>
        <rFont val="Yu Gothic UI Semibold"/>
        <family val="2"/>
        <charset val="128"/>
      </rPr>
      <t>Car Depth</t>
    </r>
    <r>
      <rPr>
        <sz val="10"/>
        <color theme="1" tint="0.34998626667073579"/>
        <rFont val="Yu Gothic UI Semibold"/>
        <family val="2"/>
        <charset val="128"/>
      </rPr>
      <t xml:space="preserve"> </t>
    </r>
    <r>
      <rPr>
        <sz val="10"/>
        <color theme="9" tint="-0.499984740745262"/>
        <rFont val="Yu Gothic UI Semibold"/>
        <family val="2"/>
        <charset val="128"/>
      </rPr>
      <t>CD(mm)</t>
    </r>
  </si>
  <si>
    <r>
      <rPr>
        <sz val="10"/>
        <rFont val="Yu Gothic UI Semibold"/>
        <family val="2"/>
        <charset val="128"/>
      </rPr>
      <t xml:space="preserve">Car Height </t>
    </r>
    <r>
      <rPr>
        <sz val="10"/>
        <color theme="9" tint="-0.499984740745262"/>
        <rFont val="Yu Gothic UI Semibold"/>
        <family val="2"/>
        <charset val="128"/>
      </rPr>
      <t>CH(mm)</t>
    </r>
  </si>
  <si>
    <t>CWT Position</t>
  </si>
  <si>
    <t>CWT Safety Gear</t>
  </si>
  <si>
    <t>复制值</t>
  </si>
  <si>
    <t>SIDE</t>
  </si>
  <si>
    <t>No</t>
  </si>
  <si>
    <r>
      <rPr>
        <sz val="10"/>
        <color theme="1" tint="0.499984740745262"/>
        <rFont val="Yu Gothic UI Semibold"/>
        <family val="2"/>
        <charset val="128"/>
      </rPr>
      <t>不</t>
    </r>
    <r>
      <rPr>
        <sz val="10"/>
        <color theme="1" tint="0.499984740745262"/>
        <rFont val="宋体"/>
        <family val="3"/>
        <charset val="134"/>
      </rPr>
      <t>适</t>
    </r>
    <r>
      <rPr>
        <sz val="10"/>
        <color theme="1" tint="0.499984740745262"/>
        <rFont val="Yu Gothic UI Semibold"/>
        <family val="2"/>
        <charset val="128"/>
      </rPr>
      <t>用于</t>
    </r>
    <r>
      <rPr>
        <sz val="10"/>
        <color theme="1" tint="0.499984740745262"/>
        <rFont val="宋体"/>
        <family val="3"/>
        <charset val="134"/>
      </rPr>
      <t>观</t>
    </r>
    <r>
      <rPr>
        <sz val="10"/>
        <color theme="1" tint="0.499984740745262"/>
        <rFont val="Yu Gothic UI Semibold"/>
        <family val="2"/>
        <charset val="128"/>
      </rPr>
      <t>光梯</t>
    </r>
  </si>
  <si>
    <t>CW</t>
  </si>
  <si>
    <t>CD</t>
  </si>
  <si>
    <t>Door Opening</t>
  </si>
  <si>
    <r>
      <rPr>
        <sz val="10"/>
        <rFont val="Yu Gothic UI Semibold"/>
        <family val="2"/>
        <charset val="128"/>
      </rPr>
      <t xml:space="preserve">Door Width </t>
    </r>
    <r>
      <rPr>
        <sz val="10"/>
        <color theme="9" tint="-0.499984740745262"/>
        <rFont val="Yu Gothic UI Semibold"/>
        <family val="2"/>
        <charset val="128"/>
      </rPr>
      <t>DW(mm)</t>
    </r>
  </si>
  <si>
    <r>
      <rPr>
        <sz val="10"/>
        <rFont val="Yu Gothic UI Semibold"/>
        <family val="2"/>
        <charset val="128"/>
      </rPr>
      <t xml:space="preserve">Door Height </t>
    </r>
    <r>
      <rPr>
        <sz val="10"/>
        <color theme="9" tint="-0.499984740745262"/>
        <rFont val="Yu Gothic UI Semibold"/>
        <family val="2"/>
        <charset val="128"/>
      </rPr>
      <t>DH(mm)</t>
    </r>
  </si>
  <si>
    <t>Through Door</t>
  </si>
  <si>
    <t>Glass Door(C2/S2)</t>
  </si>
  <si>
    <t>Door Model</t>
  </si>
  <si>
    <t>CH</t>
  </si>
  <si>
    <t>S2</t>
  </si>
  <si>
    <t>未启用</t>
  </si>
  <si>
    <t>CWT</t>
  </si>
  <si>
    <t>REAR</t>
  </si>
  <si>
    <t>Door</t>
  </si>
  <si>
    <t>C4</t>
  </si>
  <si>
    <t>Standard</t>
  </si>
  <si>
    <t>Door Center from Car Center</t>
  </si>
  <si>
    <t>Car Area Exceed the Code</t>
  </si>
  <si>
    <t>Shaft Tolerance</t>
  </si>
  <si>
    <t>Marble Floor(mm)</t>
  </si>
  <si>
    <t>DW</t>
  </si>
  <si>
    <t>EN81-1</t>
  </si>
  <si>
    <t>Offset</t>
  </si>
  <si>
    <t>Local allow</t>
  </si>
  <si>
    <t>Normal</t>
  </si>
  <si>
    <t>DH</t>
  </si>
  <si>
    <t xml:space="preserve"> Calculated Result</t>
  </si>
  <si>
    <t>Capacity Q(kg)</t>
  </si>
  <si>
    <t>Persons</t>
  </si>
  <si>
    <t>Area Cap(kg)</t>
  </si>
  <si>
    <r>
      <rPr>
        <sz val="10"/>
        <rFont val="Yu Gothic UI Semibold"/>
        <family val="2"/>
        <charset val="128"/>
      </rPr>
      <t xml:space="preserve">Shaft Width </t>
    </r>
    <r>
      <rPr>
        <sz val="10"/>
        <color theme="9" tint="-0.499984740745262"/>
        <rFont val="Yu Gothic UI Semibold"/>
        <family val="2"/>
        <charset val="128"/>
      </rPr>
      <t>SW(mm)</t>
    </r>
  </si>
  <si>
    <r>
      <rPr>
        <sz val="10"/>
        <rFont val="Yu Gothic UI Semibold"/>
        <family val="2"/>
        <charset val="128"/>
      </rPr>
      <t xml:space="preserve">Shaft Depth </t>
    </r>
    <r>
      <rPr>
        <sz val="10"/>
        <color theme="9" tint="-0.499984740745262"/>
        <rFont val="Yu Gothic UI Semibold"/>
        <family val="2"/>
        <charset val="128"/>
      </rPr>
      <t>SD(mm)</t>
    </r>
  </si>
  <si>
    <r>
      <rPr>
        <sz val="10"/>
        <rFont val="Yu Gothic UI Semibold"/>
        <family val="2"/>
        <charset val="128"/>
      </rPr>
      <t xml:space="preserve">Overhead </t>
    </r>
    <r>
      <rPr>
        <sz val="10"/>
        <color theme="9" tint="-0.499984740745262"/>
        <rFont val="Yu Gothic UI Semibold"/>
        <family val="2"/>
        <charset val="128"/>
      </rPr>
      <t>K(mm)</t>
    </r>
  </si>
  <si>
    <r>
      <rPr>
        <sz val="10"/>
        <rFont val="Yu Gothic UI Semibold"/>
        <family val="2"/>
        <charset val="128"/>
      </rPr>
      <t xml:space="preserve">Pit Depth </t>
    </r>
    <r>
      <rPr>
        <sz val="10"/>
        <color theme="9" tint="-0.499984740745262"/>
        <rFont val="Yu Gothic UI Semibold"/>
        <family val="2"/>
        <charset val="128"/>
      </rPr>
      <t>S(mm)</t>
    </r>
  </si>
  <si>
    <t>Enter</t>
  </si>
  <si>
    <t>×</t>
  </si>
  <si>
    <t>/</t>
  </si>
  <si>
    <r>
      <rPr>
        <sz val="10"/>
        <rFont val="微软雅黑"/>
        <family val="2"/>
        <charset val="134"/>
      </rPr>
      <t>备</t>
    </r>
    <r>
      <rPr>
        <sz val="10"/>
        <rFont val="Yu Gothic UI Semibold"/>
        <family val="2"/>
        <charset val="128"/>
      </rPr>
      <t xml:space="preserve">  注:</t>
    </r>
  </si>
  <si>
    <r>
      <rPr>
        <sz val="10"/>
        <rFont val="Yu Gothic UI Semibold"/>
        <family val="2"/>
        <charset val="128"/>
      </rPr>
      <t>以上</t>
    </r>
    <r>
      <rPr>
        <sz val="10"/>
        <rFont val="微软雅黑"/>
        <family val="2"/>
        <charset val="134"/>
      </rPr>
      <t>结</t>
    </r>
    <r>
      <rPr>
        <sz val="10"/>
        <rFont val="Yu Gothic UI Semibold"/>
        <family val="2"/>
        <charset val="128"/>
      </rPr>
      <t>果</t>
    </r>
    <r>
      <rPr>
        <sz val="10"/>
        <rFont val="微软雅黑"/>
        <family val="2"/>
        <charset val="134"/>
      </rPr>
      <t>仅</t>
    </r>
    <r>
      <rPr>
        <sz val="10"/>
        <rFont val="Yu Gothic UI Semibold"/>
        <family val="2"/>
        <charset val="128"/>
      </rPr>
      <t>供参考，具体以</t>
    </r>
    <r>
      <rPr>
        <sz val="10"/>
        <rFont val="微软雅黑"/>
        <family val="2"/>
        <charset val="134"/>
      </rPr>
      <t>项</t>
    </r>
    <r>
      <rPr>
        <sz val="10"/>
        <rFont val="Yu Gothic UI Semibold"/>
        <family val="2"/>
        <charset val="128"/>
      </rPr>
      <t>目</t>
    </r>
    <r>
      <rPr>
        <sz val="10"/>
        <rFont val="微软雅黑"/>
        <family val="2"/>
        <charset val="134"/>
      </rPr>
      <t>实际为</t>
    </r>
    <r>
      <rPr>
        <sz val="10"/>
        <rFont val="Yu Gothic UI Semibold"/>
        <family val="2"/>
        <charset val="128"/>
      </rPr>
      <t>准；如有</t>
    </r>
    <r>
      <rPr>
        <sz val="10"/>
        <rFont val="微软雅黑"/>
        <family val="2"/>
        <charset val="134"/>
      </rPr>
      <t>问题</t>
    </r>
    <r>
      <rPr>
        <sz val="10"/>
        <rFont val="Yu Gothic UI Semibold"/>
        <family val="2"/>
        <charset val="128"/>
      </rPr>
      <t>咨</t>
    </r>
    <r>
      <rPr>
        <sz val="10"/>
        <rFont val="微软雅黑"/>
        <family val="2"/>
        <charset val="134"/>
      </rPr>
      <t>询</t>
    </r>
    <r>
      <rPr>
        <sz val="10"/>
        <rFont val="Yu Gothic UI Semibold"/>
        <family val="2"/>
        <charset val="128"/>
      </rPr>
      <t>菱王售前</t>
    </r>
  </si>
  <si>
    <t>复制到database用</t>
  </si>
  <si>
    <t>Dimension Database</t>
  </si>
  <si>
    <t>最后一行</t>
  </si>
  <si>
    <t>Model</t>
  </si>
  <si>
    <t>Q</t>
  </si>
  <si>
    <t>V</t>
  </si>
  <si>
    <t>R</t>
  </si>
  <si>
    <t>CWTSG</t>
  </si>
  <si>
    <t>Through-door</t>
  </si>
  <si>
    <t>Glass door</t>
  </si>
  <si>
    <t>Door model</t>
  </si>
  <si>
    <t>Door center</t>
  </si>
  <si>
    <t>Car Area Exceed</t>
  </si>
  <si>
    <t>Result-Q</t>
  </si>
  <si>
    <t>Result-Persons</t>
  </si>
  <si>
    <t>SW</t>
  </si>
  <si>
    <t>SD</t>
  </si>
  <si>
    <t>OH</t>
  </si>
  <si>
    <t>PIT</t>
  </si>
  <si>
    <t>SW-MIN</t>
  </si>
  <si>
    <t>SD-MIN</t>
  </si>
  <si>
    <t>OH-MIN</t>
  </si>
  <si>
    <t>PIT-MIN</t>
  </si>
  <si>
    <t>Warning</t>
  </si>
  <si>
    <t>Project</t>
  </si>
  <si>
    <t>Date</t>
  </si>
  <si>
    <t>EVIK</t>
  </si>
  <si>
    <t>GOST 33984.1</t>
  </si>
  <si>
    <t>Not allow</t>
  </si>
  <si>
    <t/>
  </si>
  <si>
    <t>LTHX</t>
  </si>
  <si>
    <t>-</t>
  </si>
  <si>
    <t>C2</t>
  </si>
  <si>
    <t>C6</t>
  </si>
  <si>
    <t>Yes</t>
  </si>
  <si>
    <r>
      <rPr>
        <sz val="12"/>
        <rFont val="Yu Gothic UI"/>
        <family val="2"/>
        <charset val="128"/>
      </rPr>
      <t>WINONE Elevator Ccompany Limited
菱王</t>
    </r>
    <r>
      <rPr>
        <sz val="12"/>
        <rFont val="黑体"/>
        <family val="3"/>
        <charset val="134"/>
      </rPr>
      <t>电</t>
    </r>
    <r>
      <rPr>
        <sz val="12"/>
        <rFont val="Yu Gothic UI"/>
        <family val="2"/>
        <charset val="128"/>
      </rPr>
      <t>梯有限公司</t>
    </r>
  </si>
  <si>
    <t>ePlanning Tool (Car &gt; Shaft)</t>
  </si>
  <si>
    <r>
      <rPr>
        <b/>
        <sz val="12"/>
        <rFont val="Yu Gothic UI"/>
        <family val="2"/>
        <charset val="128"/>
      </rPr>
      <t xml:space="preserve">1 </t>
    </r>
    <r>
      <rPr>
        <b/>
        <sz val="12"/>
        <rFont val="微软雅黑"/>
        <family val="2"/>
        <charset val="134"/>
      </rPr>
      <t>计</t>
    </r>
    <r>
      <rPr>
        <b/>
        <sz val="12"/>
        <rFont val="Yu Gothic UI"/>
        <family val="2"/>
        <charset val="128"/>
      </rPr>
      <t>算方法及基本参数</t>
    </r>
  </si>
  <si>
    <r>
      <rPr>
        <sz val="12"/>
        <rFont val="Yu Gothic UI"/>
        <family val="2"/>
        <charset val="128"/>
      </rPr>
      <t xml:space="preserve">1.1 </t>
    </r>
    <r>
      <rPr>
        <sz val="12"/>
        <rFont val="微软雅黑"/>
        <family val="2"/>
        <charset val="134"/>
      </rPr>
      <t>计</t>
    </r>
    <r>
      <rPr>
        <sz val="12"/>
        <rFont val="Yu Gothic UI"/>
        <family val="2"/>
        <charset val="128"/>
      </rPr>
      <t>算方法</t>
    </r>
  </si>
  <si>
    <r>
      <rPr>
        <sz val="12"/>
        <rFont val="Yu Gothic UI"/>
        <family val="2"/>
        <charset val="128"/>
      </rPr>
      <t xml:space="preserve">       如右</t>
    </r>
    <r>
      <rPr>
        <sz val="12"/>
        <rFont val="微软雅黑"/>
        <family val="2"/>
        <charset val="134"/>
      </rPr>
      <t>图</t>
    </r>
    <r>
      <rPr>
        <sz val="12"/>
        <rFont val="Yu Gothic UI"/>
        <family val="2"/>
        <charset val="128"/>
      </rPr>
      <t>所示，以</t>
    </r>
    <r>
      <rPr>
        <sz val="12"/>
        <rFont val="微软雅黑"/>
        <family val="2"/>
        <charset val="134"/>
      </rPr>
      <t>轿厢</t>
    </r>
    <r>
      <rPr>
        <sz val="12"/>
        <rFont val="Yu Gothic UI"/>
        <family val="2"/>
        <charset val="128"/>
      </rPr>
      <t>中心</t>
    </r>
    <r>
      <rPr>
        <sz val="12"/>
        <rFont val="微软雅黑"/>
        <family val="2"/>
        <charset val="134"/>
      </rPr>
      <t>为</t>
    </r>
    <r>
      <rPr>
        <sz val="12"/>
        <rFont val="Yu Gothic UI"/>
        <family val="2"/>
        <charset val="128"/>
      </rPr>
      <t>坐</t>
    </r>
    <r>
      <rPr>
        <sz val="12"/>
        <rFont val="微软雅黑"/>
        <family val="2"/>
        <charset val="134"/>
      </rPr>
      <t>标</t>
    </r>
    <r>
      <rPr>
        <sz val="12"/>
        <rFont val="Yu Gothic UI"/>
        <family val="2"/>
        <charset val="128"/>
      </rPr>
      <t>原点，X</t>
    </r>
    <r>
      <rPr>
        <sz val="12"/>
        <rFont val="微软雅黑"/>
        <family val="2"/>
        <charset val="134"/>
      </rPr>
      <t>为轿厢宽</t>
    </r>
    <r>
      <rPr>
        <sz val="12"/>
        <rFont val="Yu Gothic UI"/>
        <family val="2"/>
        <charset val="128"/>
      </rPr>
      <t>度方向，Y</t>
    </r>
    <r>
      <rPr>
        <sz val="12"/>
        <rFont val="微软雅黑"/>
        <family val="2"/>
        <charset val="134"/>
      </rPr>
      <t>为轿厢</t>
    </r>
    <r>
      <rPr>
        <sz val="12"/>
        <rFont val="Yu Gothic UI"/>
        <family val="2"/>
        <charset val="128"/>
      </rPr>
      <t>深度方向；分</t>
    </r>
    <r>
      <rPr>
        <sz val="12"/>
        <rFont val="微软雅黑"/>
        <family val="2"/>
        <charset val="134"/>
      </rPr>
      <t>别</t>
    </r>
    <r>
      <rPr>
        <sz val="12"/>
        <rFont val="Yu Gothic UI"/>
        <family val="2"/>
        <charset val="128"/>
      </rPr>
      <t>从X、Y</t>
    </r>
    <r>
      <rPr>
        <sz val="12"/>
        <rFont val="微软雅黑"/>
        <family val="2"/>
        <charset val="134"/>
      </rPr>
      <t>两</t>
    </r>
    <r>
      <rPr>
        <sz val="12"/>
        <rFont val="Yu Gothic UI"/>
        <family val="2"/>
        <charset val="128"/>
      </rPr>
      <t>个方向</t>
    </r>
    <r>
      <rPr>
        <sz val="12"/>
        <rFont val="微软雅黑"/>
        <family val="2"/>
        <charset val="134"/>
      </rPr>
      <t>计</t>
    </r>
    <r>
      <rPr>
        <sz val="12"/>
        <rFont val="Yu Gothic UI"/>
        <family val="2"/>
        <charset val="128"/>
      </rPr>
      <t>算各</t>
    </r>
    <r>
      <rPr>
        <sz val="12"/>
        <rFont val="微软雅黑"/>
        <family val="2"/>
        <charset val="134"/>
      </rPr>
      <t>种</t>
    </r>
    <r>
      <rPr>
        <sz val="12"/>
        <rFont val="Yu Gothic UI"/>
        <family val="2"/>
        <charset val="128"/>
      </rPr>
      <t>条件所</t>
    </r>
    <r>
      <rPr>
        <sz val="12"/>
        <rFont val="微软雅黑"/>
        <family val="2"/>
        <charset val="134"/>
      </rPr>
      <t>对</t>
    </r>
    <r>
      <rPr>
        <sz val="12"/>
        <rFont val="Yu Gothic UI"/>
        <family val="2"/>
        <charset val="128"/>
      </rPr>
      <t>井道的尺寸要求（即X1</t>
    </r>
    <r>
      <rPr>
        <vertAlign val="subscript"/>
        <sz val="12"/>
        <rFont val="Yu Gothic UI"/>
        <family val="2"/>
        <charset val="128"/>
      </rPr>
      <t>L</t>
    </r>
    <r>
      <rPr>
        <sz val="12"/>
        <rFont val="Yu Gothic UI"/>
        <family val="2"/>
        <charset val="128"/>
      </rPr>
      <t>、Y1</t>
    </r>
    <r>
      <rPr>
        <vertAlign val="subscript"/>
        <sz val="12"/>
        <rFont val="Yu Gothic UI"/>
        <family val="2"/>
        <charset val="128"/>
      </rPr>
      <t>B</t>
    </r>
    <r>
      <rPr>
        <sz val="12"/>
        <rFont val="Yu Gothic UI"/>
        <family val="2"/>
        <charset val="128"/>
      </rPr>
      <t>等等），然后取其上下限</t>
    </r>
    <r>
      <rPr>
        <sz val="12"/>
        <rFont val="微软雅黑"/>
        <family val="2"/>
        <charset val="134"/>
      </rPr>
      <t>极值</t>
    </r>
    <r>
      <rPr>
        <sz val="12"/>
        <rFont val="Yu Gothic UI"/>
        <family val="2"/>
        <charset val="128"/>
      </rPr>
      <t>（即X</t>
    </r>
    <r>
      <rPr>
        <vertAlign val="subscript"/>
        <sz val="12"/>
        <rFont val="Yu Gothic UI"/>
        <family val="2"/>
        <charset val="128"/>
      </rPr>
      <t>Lmin</t>
    </r>
    <r>
      <rPr>
        <sz val="12"/>
        <rFont val="Yu Gothic UI"/>
        <family val="2"/>
        <charset val="128"/>
      </rPr>
      <t>, X</t>
    </r>
    <r>
      <rPr>
        <vertAlign val="subscript"/>
        <sz val="12"/>
        <rFont val="Yu Gothic UI"/>
        <family val="2"/>
        <charset val="128"/>
      </rPr>
      <t>Rmax</t>
    </r>
    <r>
      <rPr>
        <sz val="12"/>
        <rFont val="Yu Gothic UI"/>
        <family val="2"/>
        <charset val="128"/>
      </rPr>
      <t>, Y</t>
    </r>
    <r>
      <rPr>
        <vertAlign val="subscript"/>
        <sz val="12"/>
        <rFont val="Yu Gothic UI"/>
        <family val="2"/>
        <charset val="128"/>
      </rPr>
      <t>Fmin</t>
    </r>
    <r>
      <rPr>
        <sz val="12"/>
        <rFont val="Yu Gothic UI"/>
        <family val="2"/>
        <charset val="128"/>
      </rPr>
      <t>, Y</t>
    </r>
    <r>
      <rPr>
        <vertAlign val="subscript"/>
        <sz val="12"/>
        <rFont val="Yu Gothic UI"/>
        <family val="2"/>
        <charset val="128"/>
      </rPr>
      <t>Bmax</t>
    </r>
    <r>
      <rPr>
        <sz val="12"/>
        <rFont val="Yu Gothic UI"/>
        <family val="2"/>
        <charset val="128"/>
      </rPr>
      <t>）求得</t>
    </r>
    <r>
      <rPr>
        <sz val="12"/>
        <rFont val="微软雅黑"/>
        <family val="2"/>
        <charset val="134"/>
      </rPr>
      <t>轿厢</t>
    </r>
    <r>
      <rPr>
        <sz val="12"/>
        <rFont val="Yu Gothic UI"/>
        <family val="2"/>
        <charset val="128"/>
      </rPr>
      <t>所</t>
    </r>
    <r>
      <rPr>
        <sz val="12"/>
        <rFont val="微软雅黑"/>
        <family val="2"/>
        <charset val="134"/>
      </rPr>
      <t>对应</t>
    </r>
    <r>
      <rPr>
        <sz val="12"/>
        <rFont val="Yu Gothic UI"/>
        <family val="2"/>
        <charset val="128"/>
      </rPr>
      <t xml:space="preserve">的最小井道尺寸。
       </t>
    </r>
    <r>
      <rPr>
        <sz val="12"/>
        <rFont val="微软雅黑"/>
        <family val="2"/>
        <charset val="134"/>
      </rPr>
      <t>计</t>
    </r>
    <r>
      <rPr>
        <sz val="12"/>
        <rFont val="Yu Gothic UI"/>
        <family val="2"/>
        <charset val="128"/>
      </rPr>
      <t>算完成后，</t>
    </r>
    <r>
      <rPr>
        <sz val="12"/>
        <rFont val="微软雅黑"/>
        <family val="2"/>
        <charset val="134"/>
      </rPr>
      <t>对</t>
    </r>
    <r>
      <rPr>
        <sz val="12"/>
        <rFont val="Yu Gothic UI"/>
        <family val="2"/>
        <charset val="128"/>
      </rPr>
      <t>一些干</t>
    </r>
    <r>
      <rPr>
        <sz val="12"/>
        <rFont val="微软雅黑"/>
        <family val="2"/>
        <charset val="134"/>
      </rPr>
      <t>涉</t>
    </r>
    <r>
      <rPr>
        <sz val="12"/>
        <rFont val="Yu Gothic UI"/>
        <family val="2"/>
        <charset val="128"/>
      </rPr>
      <t>的情况</t>
    </r>
    <r>
      <rPr>
        <sz val="12"/>
        <rFont val="微软雅黑"/>
        <family val="2"/>
        <charset val="134"/>
      </rPr>
      <t>进</t>
    </r>
    <r>
      <rPr>
        <sz val="12"/>
        <rFont val="Yu Gothic UI"/>
        <family val="2"/>
        <charset val="128"/>
      </rPr>
      <t>行校核（如</t>
    </r>
    <r>
      <rPr>
        <sz val="12"/>
        <rFont val="微软雅黑"/>
        <family val="2"/>
        <charset val="134"/>
      </rPr>
      <t>对</t>
    </r>
    <r>
      <rPr>
        <sz val="12"/>
        <rFont val="Yu Gothic UI"/>
        <family val="2"/>
        <charset val="128"/>
      </rPr>
      <t>重与</t>
    </r>
    <r>
      <rPr>
        <sz val="12"/>
        <rFont val="微软雅黑"/>
        <family val="2"/>
        <charset val="134"/>
      </rPr>
      <t>门头</t>
    </r>
    <r>
      <rPr>
        <sz val="12"/>
        <rFont val="Yu Gothic UI"/>
        <family val="2"/>
        <charset val="128"/>
      </rPr>
      <t>，</t>
    </r>
    <r>
      <rPr>
        <sz val="12"/>
        <rFont val="微软雅黑"/>
        <family val="2"/>
        <charset val="134"/>
      </rPr>
      <t>门宽</t>
    </r>
    <r>
      <rPr>
        <sz val="12"/>
        <rFont val="Yu Gothic UI"/>
        <family val="2"/>
        <charset val="128"/>
      </rPr>
      <t>大小不合</t>
    </r>
    <r>
      <rPr>
        <sz val="12"/>
        <rFont val="微软雅黑"/>
        <family val="2"/>
        <charset val="134"/>
      </rPr>
      <t>适</t>
    </r>
    <r>
      <rPr>
        <sz val="12"/>
        <rFont val="Yu Gothic UI"/>
        <family val="2"/>
        <charset val="128"/>
      </rPr>
      <t>等等，</t>
    </r>
    <r>
      <rPr>
        <sz val="12"/>
        <rFont val="微软雅黑"/>
        <family val="2"/>
        <charset val="134"/>
      </rPr>
      <t>详见</t>
    </r>
    <r>
      <rPr>
        <sz val="12"/>
        <rFont val="Yu Gothic UI"/>
        <family val="2"/>
        <charset val="128"/>
      </rPr>
      <t>下方</t>
    </r>
    <r>
      <rPr>
        <sz val="12"/>
        <rFont val="微软雅黑"/>
        <family val="2"/>
        <charset val="134"/>
      </rPr>
      <t>计</t>
    </r>
    <r>
      <rPr>
        <sz val="12"/>
        <rFont val="Yu Gothic UI"/>
        <family val="2"/>
        <charset val="128"/>
      </rPr>
      <t>算），并提出警告及初</t>
    </r>
    <r>
      <rPr>
        <sz val="12"/>
        <rFont val="微软雅黑"/>
        <family val="2"/>
        <charset val="134"/>
      </rPr>
      <t>步</t>
    </r>
    <r>
      <rPr>
        <sz val="12"/>
        <rFont val="Yu Gothic UI"/>
        <family val="2"/>
        <charset val="128"/>
      </rPr>
      <t xml:space="preserve">解决方案。
       </t>
    </r>
    <r>
      <rPr>
        <sz val="12"/>
        <rFont val="微软雅黑"/>
        <family val="2"/>
        <charset val="134"/>
      </rPr>
      <t>针对</t>
    </r>
    <r>
      <rPr>
        <sz val="12"/>
        <rFont val="Yu Gothic UI"/>
        <family val="2"/>
        <charset val="128"/>
      </rPr>
      <t>基本参数能</t>
    </r>
    <r>
      <rPr>
        <sz val="12"/>
        <rFont val="微软雅黑"/>
        <family val="2"/>
        <charset val="134"/>
      </rPr>
      <t>够</t>
    </r>
    <r>
      <rPr>
        <sz val="12"/>
        <rFont val="Yu Gothic UI"/>
        <family val="2"/>
        <charset val="128"/>
      </rPr>
      <t>符合</t>
    </r>
    <r>
      <rPr>
        <sz val="12"/>
        <rFont val="微软雅黑"/>
        <family val="2"/>
        <charset val="134"/>
      </rPr>
      <t>标</t>
    </r>
    <r>
      <rPr>
        <sz val="12"/>
        <rFont val="Yu Gothic UI"/>
        <family val="2"/>
        <charset val="128"/>
      </rPr>
      <t>准配置的情况，能</t>
    </r>
    <r>
      <rPr>
        <sz val="12"/>
        <rFont val="微软雅黑"/>
        <family val="2"/>
        <charset val="134"/>
      </rPr>
      <t>够</t>
    </r>
    <r>
      <rPr>
        <sz val="12"/>
        <rFont val="Yu Gothic UI"/>
        <family val="2"/>
        <charset val="128"/>
      </rPr>
      <t>按照</t>
    </r>
    <r>
      <rPr>
        <sz val="12"/>
        <rFont val="微软雅黑"/>
        <family val="2"/>
        <charset val="134"/>
      </rPr>
      <t>标</t>
    </r>
    <r>
      <rPr>
        <sz val="12"/>
        <rFont val="Yu Gothic UI"/>
        <family val="2"/>
        <charset val="128"/>
      </rPr>
      <t>准井道尺寸覆盖原来</t>
    </r>
    <r>
      <rPr>
        <sz val="12"/>
        <rFont val="微软雅黑"/>
        <family val="2"/>
        <charset val="134"/>
      </rPr>
      <t>计</t>
    </r>
    <r>
      <rPr>
        <sz val="12"/>
        <rFont val="Yu Gothic UI"/>
        <family val="2"/>
        <charset val="128"/>
      </rPr>
      <t>算所得的尺寸（因</t>
    </r>
    <r>
      <rPr>
        <sz val="12"/>
        <rFont val="微软雅黑"/>
        <family val="2"/>
        <charset val="134"/>
      </rPr>
      <t>为标</t>
    </r>
    <r>
      <rPr>
        <sz val="12"/>
        <rFont val="Yu Gothic UI"/>
        <family val="2"/>
        <charset val="128"/>
      </rPr>
      <t>准配置的井道布置不可避免地有少部分与</t>
    </r>
    <r>
      <rPr>
        <sz val="12"/>
        <rFont val="微软雅黑"/>
        <family val="2"/>
        <charset val="134"/>
      </rPr>
      <t>计</t>
    </r>
    <r>
      <rPr>
        <sz val="12"/>
        <rFont val="Yu Gothic UI"/>
        <family val="2"/>
        <charset val="128"/>
      </rPr>
      <t>算方法不一致的地方）；如果</t>
    </r>
    <r>
      <rPr>
        <sz val="12"/>
        <rFont val="微软雅黑"/>
        <family val="2"/>
        <charset val="134"/>
      </rPr>
      <t>载</t>
    </r>
    <r>
      <rPr>
        <sz val="12"/>
        <rFont val="Yu Gothic UI"/>
        <family val="2"/>
        <charset val="128"/>
      </rPr>
      <t>重超出</t>
    </r>
    <r>
      <rPr>
        <sz val="12"/>
        <rFont val="微软雅黑"/>
        <family val="2"/>
        <charset val="134"/>
      </rPr>
      <t>标</t>
    </r>
    <r>
      <rPr>
        <sz val="12"/>
        <rFont val="Yu Gothic UI"/>
        <family val="2"/>
        <charset val="128"/>
      </rPr>
      <t>配配置的</t>
    </r>
    <r>
      <rPr>
        <sz val="12"/>
        <rFont val="微软雅黑"/>
        <family val="2"/>
        <charset val="134"/>
      </rPr>
      <t>极</t>
    </r>
    <r>
      <rPr>
        <sz val="12"/>
        <rFont val="Yu Gothic UI"/>
        <family val="2"/>
        <charset val="128"/>
      </rPr>
      <t>大</t>
    </r>
    <r>
      <rPr>
        <sz val="12"/>
        <rFont val="微软雅黑"/>
        <family val="2"/>
        <charset val="134"/>
      </rPr>
      <t>极</t>
    </r>
    <r>
      <rPr>
        <sz val="12"/>
        <rFont val="Yu Gothic UI"/>
        <family val="2"/>
        <charset val="128"/>
      </rPr>
      <t>小</t>
    </r>
    <r>
      <rPr>
        <sz val="12"/>
        <rFont val="微软雅黑"/>
        <family val="2"/>
        <charset val="134"/>
      </rPr>
      <t>值时</t>
    </r>
    <r>
      <rPr>
        <sz val="12"/>
        <rFont val="Yu Gothic UI"/>
        <family val="2"/>
        <charset val="128"/>
      </rPr>
      <t>，提出警告。</t>
    </r>
  </si>
  <si>
    <t>1.2 基本参数</t>
  </si>
  <si>
    <r>
      <rPr>
        <sz val="10"/>
        <rFont val="微软雅黑"/>
        <family val="2"/>
        <charset val="134"/>
      </rPr>
      <t>标</t>
    </r>
    <r>
      <rPr>
        <sz val="10"/>
        <rFont val="Yu Gothic UI"/>
        <family val="2"/>
        <charset val="128"/>
      </rPr>
      <t>配</t>
    </r>
    <r>
      <rPr>
        <sz val="10"/>
        <rFont val="微软雅黑"/>
        <family val="2"/>
        <charset val="134"/>
      </rPr>
      <t>值</t>
    </r>
    <r>
      <rPr>
        <sz val="10"/>
        <rFont val="Yu Gothic UI"/>
        <family val="2"/>
        <charset val="128"/>
      </rPr>
      <t>取</t>
    </r>
    <r>
      <rPr>
        <sz val="10"/>
        <rFont val="微软雅黑"/>
        <family val="2"/>
        <charset val="134"/>
      </rPr>
      <t>值</t>
    </r>
    <r>
      <rPr>
        <sz val="10"/>
        <rFont val="Yu Gothic UI"/>
        <family val="2"/>
        <charset val="128"/>
      </rPr>
      <t>列表(方便</t>
    </r>
    <r>
      <rPr>
        <sz val="10"/>
        <rFont val="微软雅黑"/>
        <family val="2"/>
        <charset val="134"/>
      </rPr>
      <t>编辑</t>
    </r>
    <r>
      <rPr>
        <sz val="10"/>
        <rFont val="Yu Gothic UI"/>
        <family val="2"/>
        <charset val="128"/>
      </rPr>
      <t>)</t>
    </r>
  </si>
  <si>
    <t>梯型</t>
  </si>
  <si>
    <t>梯型序号</t>
  </si>
  <si>
    <t>LTHX Car</t>
  </si>
  <si>
    <t>LTHW Car</t>
  </si>
  <si>
    <t>EVIN</t>
  </si>
  <si>
    <t>LTK</t>
  </si>
  <si>
    <r>
      <rPr>
        <sz val="10"/>
        <rFont val="宋体"/>
        <family val="3"/>
        <charset val="134"/>
      </rPr>
      <t>预</t>
    </r>
    <r>
      <rPr>
        <sz val="10"/>
        <rFont val="Yu Gothic UI"/>
        <family val="2"/>
        <charset val="128"/>
      </rPr>
      <t>留</t>
    </r>
  </si>
  <si>
    <t>速度 v(m/s)</t>
  </si>
  <si>
    <t>是否无机房</t>
  </si>
  <si>
    <t>CWG</t>
  </si>
  <si>
    <r>
      <rPr>
        <sz val="12"/>
        <rFont val="微软雅黑"/>
        <family val="2"/>
        <charset val="134"/>
      </rPr>
      <t>运</t>
    </r>
    <r>
      <rPr>
        <sz val="12"/>
        <rFont val="Yu Gothic UI"/>
        <family val="2"/>
        <charset val="128"/>
      </rPr>
      <t>行高度 TH(m)</t>
    </r>
  </si>
  <si>
    <t>CWD</t>
  </si>
  <si>
    <r>
      <rPr>
        <sz val="12"/>
        <rFont val="微软雅黑"/>
        <family val="2"/>
        <charset val="134"/>
      </rPr>
      <t>对</t>
    </r>
    <r>
      <rPr>
        <sz val="12"/>
        <rFont val="Yu Gothic UI"/>
        <family val="2"/>
        <charset val="128"/>
      </rPr>
      <t>重位置</t>
    </r>
  </si>
  <si>
    <t>CWe</t>
  </si>
  <si>
    <r>
      <rPr>
        <sz val="12"/>
        <rFont val="微软雅黑"/>
        <family val="2"/>
        <charset val="134"/>
      </rPr>
      <t>轿厢宽</t>
    </r>
    <r>
      <rPr>
        <sz val="12"/>
        <rFont val="Yu Gothic UI"/>
        <family val="2"/>
        <charset val="128"/>
      </rPr>
      <t>度 CW(mm)</t>
    </r>
  </si>
  <si>
    <t>主机</t>
  </si>
  <si>
    <r>
      <rPr>
        <sz val="12"/>
        <rFont val="微软雅黑"/>
        <family val="2"/>
        <charset val="134"/>
      </rPr>
      <t>轿厢</t>
    </r>
    <r>
      <rPr>
        <sz val="12"/>
        <rFont val="Yu Gothic UI"/>
        <family val="2"/>
        <charset val="128"/>
      </rPr>
      <t>深度 CD(mm)</t>
    </r>
  </si>
  <si>
    <t>MRD</t>
  </si>
  <si>
    <r>
      <rPr>
        <sz val="12"/>
        <rFont val="微软雅黑"/>
        <family val="2"/>
        <charset val="134"/>
      </rPr>
      <t>开门类</t>
    </r>
    <r>
      <rPr>
        <sz val="12"/>
        <rFont val="Yu Gothic UI"/>
        <family val="2"/>
        <charset val="128"/>
      </rPr>
      <t>型</t>
    </r>
  </si>
  <si>
    <r>
      <rPr>
        <sz val="10"/>
        <rFont val="Yu Gothic UI"/>
        <family val="2"/>
        <charset val="128"/>
      </rPr>
      <t>SH</t>
    </r>
    <r>
      <rPr>
        <vertAlign val="subscript"/>
        <sz val="10"/>
        <rFont val="Yu Gothic UI"/>
        <family val="2"/>
        <charset val="128"/>
      </rPr>
      <t>0</t>
    </r>
  </si>
  <si>
    <r>
      <rPr>
        <sz val="12"/>
        <rFont val="微软雅黑"/>
        <family val="2"/>
        <charset val="134"/>
      </rPr>
      <t>门宽</t>
    </r>
    <r>
      <rPr>
        <sz val="12"/>
        <rFont val="Yu Gothic UI"/>
        <family val="2"/>
        <charset val="128"/>
      </rPr>
      <t xml:space="preserve"> DW(mm)</t>
    </r>
  </si>
  <si>
    <r>
      <rPr>
        <sz val="10"/>
        <rFont val="Yu Gothic UI"/>
        <family val="2"/>
        <charset val="128"/>
      </rPr>
      <t>SP</t>
    </r>
    <r>
      <rPr>
        <vertAlign val="subscript"/>
        <sz val="10"/>
        <rFont val="Yu Gothic UI"/>
        <family val="2"/>
        <charset val="128"/>
      </rPr>
      <t>0</t>
    </r>
  </si>
  <si>
    <r>
      <rPr>
        <sz val="12"/>
        <rFont val="Yu Gothic UI"/>
        <family val="2"/>
        <charset val="128"/>
      </rPr>
      <t>是否</t>
    </r>
    <r>
      <rPr>
        <sz val="12"/>
        <rFont val="微软雅黑"/>
        <family val="2"/>
        <charset val="134"/>
      </rPr>
      <t>对开贯</t>
    </r>
    <r>
      <rPr>
        <sz val="12"/>
        <rFont val="Yu Gothic UI"/>
        <family val="2"/>
        <charset val="128"/>
      </rPr>
      <t>通</t>
    </r>
    <r>
      <rPr>
        <sz val="12"/>
        <rFont val="微软雅黑"/>
        <family val="2"/>
        <charset val="134"/>
      </rPr>
      <t>门</t>
    </r>
    <r>
      <rPr>
        <sz val="12"/>
        <rFont val="Yu Gothic UI"/>
        <family val="2"/>
        <charset val="128"/>
      </rPr>
      <t>?</t>
    </r>
  </si>
  <si>
    <r>
      <rPr>
        <sz val="10"/>
        <rFont val="Yu Gothic UI"/>
        <family val="2"/>
        <charset val="128"/>
      </rPr>
      <t>CW</t>
    </r>
    <r>
      <rPr>
        <vertAlign val="subscript"/>
        <sz val="10"/>
        <rFont val="Yu Gothic UI"/>
        <family val="2"/>
        <charset val="128"/>
      </rPr>
      <t>0</t>
    </r>
  </si>
  <si>
    <r>
      <rPr>
        <sz val="10"/>
        <rFont val="微软雅黑"/>
        <family val="2"/>
        <charset val="134"/>
      </rPr>
      <t>对</t>
    </r>
    <r>
      <rPr>
        <sz val="10"/>
        <rFont val="Yu Gothic UI"/>
        <family val="2"/>
        <charset val="128"/>
      </rPr>
      <t>重SIDE</t>
    </r>
  </si>
  <si>
    <r>
      <rPr>
        <sz val="12"/>
        <rFont val="微软雅黑"/>
        <family val="2"/>
        <charset val="134"/>
      </rPr>
      <t>门</t>
    </r>
    <r>
      <rPr>
        <sz val="12"/>
        <rFont val="Yu Gothic UI"/>
        <family val="2"/>
        <charset val="128"/>
      </rPr>
      <t>偏心要求DeR</t>
    </r>
  </si>
  <si>
    <r>
      <rPr>
        <sz val="10"/>
        <rFont val="Yu Gothic UI"/>
        <family val="2"/>
        <charset val="128"/>
      </rPr>
      <t>CD</t>
    </r>
    <r>
      <rPr>
        <vertAlign val="subscript"/>
        <sz val="10"/>
        <rFont val="Yu Gothic UI"/>
        <family val="2"/>
        <charset val="128"/>
      </rPr>
      <t>0</t>
    </r>
  </si>
  <si>
    <r>
      <rPr>
        <sz val="10"/>
        <rFont val="微软雅黑"/>
        <family val="2"/>
        <charset val="134"/>
      </rPr>
      <t>对</t>
    </r>
    <r>
      <rPr>
        <sz val="10"/>
        <rFont val="Yu Gothic UI"/>
        <family val="2"/>
        <charset val="128"/>
      </rPr>
      <t>重REAR</t>
    </r>
  </si>
  <si>
    <r>
      <rPr>
        <sz val="12"/>
        <rFont val="微软雅黑"/>
        <family val="2"/>
        <charset val="134"/>
      </rPr>
      <t>载</t>
    </r>
    <r>
      <rPr>
        <sz val="12"/>
        <rFont val="Yu Gothic UI"/>
        <family val="2"/>
        <charset val="128"/>
      </rPr>
      <t>重Q(kg)</t>
    </r>
  </si>
  <si>
    <r>
      <rPr>
        <sz val="10"/>
        <rFont val="Yu Gothic UI"/>
        <family val="2"/>
        <charset val="128"/>
      </rPr>
      <t>CH</t>
    </r>
    <r>
      <rPr>
        <vertAlign val="subscript"/>
        <sz val="10"/>
        <rFont val="Yu Gothic UI"/>
        <family val="2"/>
        <charset val="128"/>
      </rPr>
      <t>0</t>
    </r>
  </si>
  <si>
    <r>
      <rPr>
        <sz val="12"/>
        <rFont val="微软雅黑"/>
        <family val="2"/>
        <charset val="134"/>
      </rPr>
      <t>轿厢</t>
    </r>
    <r>
      <rPr>
        <sz val="12"/>
        <rFont val="Yu Gothic UI"/>
        <family val="2"/>
        <charset val="128"/>
      </rPr>
      <t>高度CH(mm)</t>
    </r>
  </si>
  <si>
    <r>
      <rPr>
        <sz val="12"/>
        <rFont val="微软雅黑"/>
        <family val="2"/>
        <charset val="134"/>
      </rPr>
      <t>开门</t>
    </r>
    <r>
      <rPr>
        <sz val="12"/>
        <rFont val="Yu Gothic UI"/>
        <family val="2"/>
        <charset val="128"/>
      </rPr>
      <t>高度DH(mm)</t>
    </r>
  </si>
  <si>
    <r>
      <rPr>
        <sz val="12"/>
        <rFont val="微软雅黑"/>
        <family val="2"/>
        <charset val="134"/>
      </rPr>
      <t>电</t>
    </r>
    <r>
      <rPr>
        <sz val="12"/>
        <rFont val="Yu Gothic UI"/>
        <family val="2"/>
        <charset val="128"/>
      </rPr>
      <t>梯</t>
    </r>
    <r>
      <rPr>
        <sz val="12"/>
        <rFont val="微软雅黑"/>
        <family val="2"/>
        <charset val="134"/>
      </rPr>
      <t>标</t>
    </r>
    <r>
      <rPr>
        <sz val="12"/>
        <rFont val="Yu Gothic UI"/>
        <family val="2"/>
        <charset val="128"/>
      </rPr>
      <t>准</t>
    </r>
  </si>
  <si>
    <r>
      <rPr>
        <sz val="12"/>
        <rFont val="Yu Gothic UI"/>
        <family val="2"/>
        <charset val="128"/>
      </rPr>
      <t>是否允</t>
    </r>
    <r>
      <rPr>
        <sz val="12"/>
        <rFont val="微软雅黑"/>
        <family val="2"/>
        <charset val="134"/>
      </rPr>
      <t>许</t>
    </r>
    <r>
      <rPr>
        <sz val="12"/>
        <rFont val="Yu Gothic UI"/>
        <family val="2"/>
        <charset val="128"/>
      </rPr>
      <t>超</t>
    </r>
    <r>
      <rPr>
        <sz val="12"/>
        <rFont val="微软雅黑"/>
        <family val="2"/>
        <charset val="134"/>
      </rPr>
      <t>标</t>
    </r>
  </si>
  <si>
    <r>
      <rPr>
        <sz val="12"/>
        <rFont val="Yu Gothic UI"/>
        <family val="2"/>
        <charset val="128"/>
      </rPr>
      <t>是否玻璃</t>
    </r>
    <r>
      <rPr>
        <sz val="12"/>
        <rFont val="宋体"/>
        <family val="3"/>
        <charset val="134"/>
      </rPr>
      <t>门</t>
    </r>
  </si>
  <si>
    <r>
      <rPr>
        <b/>
        <sz val="12"/>
        <rFont val="Yu Gothic UI"/>
        <family val="2"/>
        <charset val="128"/>
      </rPr>
      <t>2 参数</t>
    </r>
    <r>
      <rPr>
        <b/>
        <sz val="12"/>
        <rFont val="微软雅黑"/>
        <family val="2"/>
        <charset val="134"/>
      </rPr>
      <t>计</t>
    </r>
    <r>
      <rPr>
        <b/>
        <sz val="12"/>
        <rFont val="Yu Gothic UI"/>
        <family val="2"/>
        <charset val="128"/>
      </rPr>
      <t>算</t>
    </r>
  </si>
  <si>
    <t>2.1 COP位置判断</t>
  </si>
  <si>
    <r>
      <rPr>
        <sz val="12"/>
        <rFont val="微软雅黑"/>
        <family val="2"/>
        <charset val="134"/>
      </rPr>
      <t>轿厢</t>
    </r>
    <r>
      <rPr>
        <sz val="12"/>
        <rFont val="Yu Gothic UI"/>
        <family val="2"/>
        <charset val="128"/>
      </rPr>
      <t>前壁</t>
    </r>
    <r>
      <rPr>
        <sz val="12"/>
        <rFont val="微软雅黑"/>
        <family val="2"/>
        <charset val="134"/>
      </rPr>
      <t>宽</t>
    </r>
    <r>
      <rPr>
        <sz val="12"/>
        <rFont val="Yu Gothic UI"/>
        <family val="2"/>
        <charset val="128"/>
      </rPr>
      <t>度 CFW(mm):</t>
    </r>
  </si>
  <si>
    <t>CFW=(CW-DW)/2</t>
  </si>
  <si>
    <t>=</t>
  </si>
  <si>
    <r>
      <rPr>
        <sz val="12"/>
        <rFont val="Yu Gothic UI"/>
        <family val="2"/>
        <charset val="128"/>
      </rPr>
      <t>是否</t>
    </r>
    <r>
      <rPr>
        <sz val="12"/>
        <rFont val="TKTypeRegular"/>
        <family val="1"/>
      </rPr>
      <t>开</t>
    </r>
    <r>
      <rPr>
        <sz val="12"/>
        <rFont val="Yu Gothic UI"/>
        <family val="2"/>
        <charset val="128"/>
      </rPr>
      <t>尽</t>
    </r>
    <r>
      <rPr>
        <sz val="12"/>
        <rFont val="TKTypeRegular"/>
        <family val="1"/>
      </rPr>
      <t>门</t>
    </r>
    <r>
      <rPr>
        <sz val="12"/>
        <rFont val="Yu Gothic UI"/>
        <family val="2"/>
        <charset val="128"/>
      </rPr>
      <t>？</t>
    </r>
  </si>
  <si>
    <r>
      <rPr>
        <sz val="12"/>
        <rFont val="Yu Gothic UI"/>
        <family val="2"/>
        <charset val="128"/>
      </rPr>
      <t xml:space="preserve">2.2 </t>
    </r>
    <r>
      <rPr>
        <sz val="12"/>
        <rFont val="微软雅黑"/>
        <family val="2"/>
        <charset val="134"/>
      </rPr>
      <t>轿厢</t>
    </r>
    <r>
      <rPr>
        <sz val="12"/>
        <rFont val="Yu Gothic UI"/>
        <family val="2"/>
        <charset val="128"/>
      </rPr>
      <t>面</t>
    </r>
    <r>
      <rPr>
        <sz val="12"/>
        <rFont val="微软雅黑"/>
        <family val="2"/>
        <charset val="134"/>
      </rPr>
      <t>积计</t>
    </r>
    <r>
      <rPr>
        <sz val="12"/>
        <rFont val="Yu Gothic UI"/>
        <family val="2"/>
        <charset val="128"/>
      </rPr>
      <t>算</t>
    </r>
  </si>
  <si>
    <r>
      <rPr>
        <sz val="12"/>
        <rFont val="微软雅黑"/>
        <family val="2"/>
        <charset val="134"/>
      </rPr>
      <t>门</t>
    </r>
    <r>
      <rPr>
        <sz val="12"/>
        <rFont val="Yu Gothic UI"/>
        <family val="2"/>
        <charset val="128"/>
      </rPr>
      <t>的品牌</t>
    </r>
  </si>
  <si>
    <r>
      <rPr>
        <sz val="12"/>
        <rFont val="微软雅黑"/>
        <family val="2"/>
        <charset val="134"/>
      </rPr>
      <t>轿厢</t>
    </r>
    <r>
      <rPr>
        <sz val="12"/>
        <rFont val="Yu Gothic UI"/>
        <family val="2"/>
        <charset val="128"/>
      </rPr>
      <t>入口面</t>
    </r>
    <r>
      <rPr>
        <sz val="12"/>
        <rFont val="微软雅黑"/>
        <family val="2"/>
        <charset val="134"/>
      </rPr>
      <t>积</t>
    </r>
    <r>
      <rPr>
        <sz val="12"/>
        <rFont val="Yu Gothic UI"/>
        <family val="2"/>
        <charset val="128"/>
      </rPr>
      <t>系数 FD-X1(mm):</t>
    </r>
  </si>
  <si>
    <t>系数行号</t>
  </si>
  <si>
    <r>
      <rPr>
        <sz val="12"/>
        <rFont val="微软雅黑"/>
        <family val="2"/>
        <charset val="134"/>
      </rPr>
      <t>轿厢</t>
    </r>
    <r>
      <rPr>
        <sz val="12"/>
        <rFont val="Yu Gothic UI"/>
        <family val="2"/>
        <charset val="128"/>
      </rPr>
      <t>面</t>
    </r>
    <r>
      <rPr>
        <sz val="12"/>
        <rFont val="微软雅黑"/>
        <family val="2"/>
        <charset val="134"/>
      </rPr>
      <t>积</t>
    </r>
    <r>
      <rPr>
        <sz val="12"/>
        <rFont val="Yu Gothic UI"/>
        <family val="2"/>
        <charset val="128"/>
      </rPr>
      <t xml:space="preserve"> A(m</t>
    </r>
    <r>
      <rPr>
        <vertAlign val="superscript"/>
        <sz val="12"/>
        <rFont val="Yu Gothic UI"/>
        <family val="2"/>
        <charset val="128"/>
      </rPr>
      <t>2</t>
    </r>
    <r>
      <rPr>
        <sz val="12"/>
        <rFont val="Yu Gothic UI"/>
        <family val="2"/>
        <charset val="128"/>
      </rPr>
      <t>)</t>
    </r>
  </si>
  <si>
    <r>
      <rPr>
        <sz val="12"/>
        <rFont val="Yu Gothic UI"/>
        <family val="2"/>
        <charset val="128"/>
      </rPr>
      <t xml:space="preserve">2.3 </t>
    </r>
    <r>
      <rPr>
        <sz val="12"/>
        <rFont val="微软雅黑"/>
        <family val="2"/>
        <charset val="134"/>
      </rPr>
      <t>载</t>
    </r>
    <r>
      <rPr>
        <sz val="12"/>
        <rFont val="Yu Gothic UI"/>
        <family val="2"/>
        <charset val="128"/>
      </rPr>
      <t>重、乘客人数</t>
    </r>
    <r>
      <rPr>
        <sz val="12"/>
        <rFont val="微软雅黑"/>
        <family val="2"/>
        <charset val="134"/>
      </rPr>
      <t>计</t>
    </r>
    <r>
      <rPr>
        <sz val="12"/>
        <rFont val="Yu Gothic UI"/>
        <family val="2"/>
        <charset val="128"/>
      </rPr>
      <t>算</t>
    </r>
  </si>
  <si>
    <r>
      <rPr>
        <sz val="12"/>
        <rFont val="Yu Gothic UI"/>
        <family val="2"/>
        <charset val="128"/>
      </rPr>
      <t xml:space="preserve">2.3.1 </t>
    </r>
    <r>
      <rPr>
        <sz val="12"/>
        <rFont val="微软雅黑"/>
        <family val="2"/>
        <charset val="134"/>
      </rPr>
      <t>轿厢</t>
    </r>
    <r>
      <rPr>
        <sz val="12"/>
        <rFont val="Yu Gothic UI"/>
        <family val="2"/>
        <charset val="128"/>
      </rPr>
      <t>面</t>
    </r>
    <r>
      <rPr>
        <sz val="12"/>
        <rFont val="微软雅黑"/>
        <family val="2"/>
        <charset val="134"/>
      </rPr>
      <t>积对应载</t>
    </r>
    <r>
      <rPr>
        <sz val="12"/>
        <rFont val="Yu Gothic UI"/>
        <family val="2"/>
        <charset val="128"/>
      </rPr>
      <t>重</t>
    </r>
  </si>
  <si>
    <r>
      <rPr>
        <sz val="12"/>
        <rFont val="Yu Gothic UI"/>
        <family val="2"/>
        <charset val="128"/>
      </rPr>
      <t>非汽</t>
    </r>
    <r>
      <rPr>
        <sz val="12"/>
        <rFont val="微软雅黑"/>
        <family val="2"/>
        <charset val="134"/>
      </rPr>
      <t>车</t>
    </r>
    <r>
      <rPr>
        <sz val="12"/>
        <rFont val="Yu Gothic UI"/>
        <family val="2"/>
        <charset val="128"/>
      </rPr>
      <t>梯</t>
    </r>
    <r>
      <rPr>
        <sz val="12"/>
        <rFont val="微软雅黑"/>
        <family val="2"/>
        <charset val="134"/>
      </rPr>
      <t>时</t>
    </r>
    <r>
      <rPr>
        <sz val="12"/>
        <rFont val="Yu Gothic UI"/>
        <family val="2"/>
        <charset val="128"/>
      </rPr>
      <t>，按国</t>
    </r>
    <r>
      <rPr>
        <sz val="12"/>
        <rFont val="微软雅黑"/>
        <family val="2"/>
        <charset val="134"/>
      </rPr>
      <t>标</t>
    </r>
    <r>
      <rPr>
        <sz val="12"/>
        <rFont val="Yu Gothic UI"/>
        <family val="2"/>
        <charset val="128"/>
      </rPr>
      <t>EN81-1，</t>
    </r>
    <r>
      <rPr>
        <sz val="12"/>
        <rFont val="微软雅黑"/>
        <family val="2"/>
        <charset val="134"/>
      </rPr>
      <t>查</t>
    </r>
    <r>
      <rPr>
        <sz val="12"/>
        <rFont val="Yu Gothic UI"/>
        <family val="2"/>
        <charset val="128"/>
      </rPr>
      <t>表后，</t>
    </r>
  </si>
  <si>
    <r>
      <rPr>
        <sz val="12"/>
        <rFont val="Yu Gothic UI"/>
        <family val="2"/>
        <charset val="128"/>
      </rPr>
      <t>Q</t>
    </r>
    <r>
      <rPr>
        <vertAlign val="subscript"/>
        <sz val="12"/>
        <rFont val="宋体"/>
        <family val="3"/>
        <charset val="134"/>
      </rPr>
      <t>查</t>
    </r>
    <r>
      <rPr>
        <sz val="12"/>
        <rFont val="Yu Gothic UI"/>
        <family val="2"/>
        <charset val="128"/>
      </rPr>
      <t xml:space="preserve"> =</t>
    </r>
  </si>
  <si>
    <r>
      <rPr>
        <sz val="12"/>
        <rFont val="Yu Gothic UI"/>
        <family val="2"/>
        <charset val="128"/>
      </rPr>
      <t>插</t>
    </r>
    <r>
      <rPr>
        <sz val="12"/>
        <rFont val="微软雅黑"/>
        <family val="2"/>
        <charset val="134"/>
      </rPr>
      <t>值</t>
    </r>
    <r>
      <rPr>
        <sz val="12"/>
        <rFont val="Yu Gothic UI"/>
        <family val="2"/>
        <charset val="128"/>
      </rPr>
      <t>，</t>
    </r>
    <r>
      <rPr>
        <sz val="12"/>
        <rFont val="微软雅黑"/>
        <family val="2"/>
        <charset val="134"/>
      </rPr>
      <t>显</t>
    </r>
    <r>
      <rPr>
        <sz val="12"/>
        <rFont val="Yu Gothic UI"/>
        <family val="2"/>
        <charset val="128"/>
      </rPr>
      <t>示</t>
    </r>
    <r>
      <rPr>
        <sz val="12"/>
        <rFont val="微软雅黑"/>
        <family val="2"/>
        <charset val="134"/>
      </rPr>
      <t>载</t>
    </r>
    <r>
      <rPr>
        <sz val="12"/>
        <rFont val="Yu Gothic UI"/>
        <family val="2"/>
        <charset val="128"/>
      </rPr>
      <t>重=</t>
    </r>
  </si>
  <si>
    <r>
      <rPr>
        <sz val="12"/>
        <rFont val="微软雅黑"/>
        <family val="2"/>
        <charset val="134"/>
      </rPr>
      <t>圆</t>
    </r>
    <r>
      <rPr>
        <sz val="12"/>
        <rFont val="Yu Gothic UI"/>
        <family val="2"/>
        <charset val="128"/>
      </rPr>
      <t>整后Q</t>
    </r>
    <r>
      <rPr>
        <vertAlign val="subscript"/>
        <sz val="12"/>
        <rFont val="微软雅黑"/>
        <family val="2"/>
        <charset val="134"/>
      </rPr>
      <t>查</t>
    </r>
    <r>
      <rPr>
        <sz val="12"/>
        <rFont val="Yu Gothic UI"/>
        <family val="2"/>
        <charset val="128"/>
      </rPr>
      <t>=</t>
    </r>
  </si>
  <si>
    <r>
      <rPr>
        <sz val="12"/>
        <rFont val="Yu Gothic UI"/>
        <family val="2"/>
        <charset val="128"/>
      </rPr>
      <t>汽</t>
    </r>
    <r>
      <rPr>
        <sz val="12"/>
        <rFont val="微软雅黑"/>
        <family val="2"/>
        <charset val="134"/>
      </rPr>
      <t>车</t>
    </r>
    <r>
      <rPr>
        <sz val="12"/>
        <rFont val="Yu Gothic UI"/>
        <family val="2"/>
        <charset val="128"/>
      </rPr>
      <t>梯</t>
    </r>
    <r>
      <rPr>
        <sz val="12"/>
        <rFont val="微软雅黑"/>
        <family val="2"/>
        <charset val="134"/>
      </rPr>
      <t>时</t>
    </r>
    <r>
      <rPr>
        <sz val="12"/>
        <rFont val="Yu Gothic UI"/>
        <family val="2"/>
        <charset val="128"/>
      </rPr>
      <t>，200kg/m2</t>
    </r>
    <r>
      <rPr>
        <sz val="12"/>
        <rFont val="微软雅黑"/>
        <family val="2"/>
        <charset val="134"/>
      </rPr>
      <t>对应载</t>
    </r>
    <r>
      <rPr>
        <sz val="12"/>
        <rFont val="Yu Gothic UI"/>
        <family val="2"/>
        <charset val="128"/>
      </rPr>
      <t>重</t>
    </r>
  </si>
  <si>
    <r>
      <rPr>
        <sz val="12"/>
        <rFont val="Yu Gothic UI"/>
        <family val="2"/>
        <charset val="128"/>
      </rPr>
      <t>Q</t>
    </r>
    <r>
      <rPr>
        <vertAlign val="subscript"/>
        <sz val="12"/>
        <rFont val="Yu Gothic UI"/>
        <family val="2"/>
        <charset val="128"/>
      </rPr>
      <t xml:space="preserve">汽 </t>
    </r>
    <r>
      <rPr>
        <sz val="12"/>
        <rFont val="Yu Gothic UI"/>
        <family val="2"/>
        <charset val="128"/>
      </rPr>
      <t>=</t>
    </r>
  </si>
  <si>
    <t>汇总是否汽车梯两种情况</t>
  </si>
  <si>
    <r>
      <rPr>
        <sz val="12"/>
        <rFont val="Yu Gothic UI"/>
        <family val="2"/>
        <charset val="128"/>
      </rPr>
      <t>Q</t>
    </r>
    <r>
      <rPr>
        <vertAlign val="subscript"/>
        <sz val="12"/>
        <rFont val="宋体"/>
        <family val="3"/>
        <charset val="134"/>
      </rPr>
      <t>评</t>
    </r>
    <r>
      <rPr>
        <vertAlign val="subscript"/>
        <sz val="12"/>
        <rFont val="Yu Gothic UI"/>
        <family val="2"/>
        <charset val="128"/>
      </rPr>
      <t xml:space="preserve">估 </t>
    </r>
    <r>
      <rPr>
        <sz val="12"/>
        <rFont val="Yu Gothic UI"/>
        <family val="2"/>
        <charset val="128"/>
      </rPr>
      <t>=</t>
    </r>
  </si>
  <si>
    <r>
      <rPr>
        <sz val="12"/>
        <rFont val="Yu Gothic UI"/>
        <family val="2"/>
        <charset val="128"/>
      </rPr>
      <t>初判，合</t>
    </r>
    <r>
      <rPr>
        <sz val="12"/>
        <rFont val="微软雅黑"/>
        <family val="2"/>
        <charset val="134"/>
      </rPr>
      <t>规</t>
    </r>
    <r>
      <rPr>
        <sz val="12"/>
        <rFont val="Yu Gothic UI"/>
        <family val="2"/>
        <charset val="128"/>
      </rPr>
      <t>的，面</t>
    </r>
    <r>
      <rPr>
        <sz val="12"/>
        <rFont val="微软雅黑"/>
        <family val="2"/>
        <charset val="134"/>
      </rPr>
      <t>积</t>
    </r>
    <r>
      <rPr>
        <sz val="12"/>
        <rFont val="Yu Gothic UI"/>
        <family val="2"/>
        <charset val="128"/>
      </rPr>
      <t>是否超</t>
    </r>
    <r>
      <rPr>
        <sz val="12"/>
        <rFont val="微软雅黑"/>
        <family val="2"/>
        <charset val="134"/>
      </rPr>
      <t>标</t>
    </r>
    <r>
      <rPr>
        <sz val="12"/>
        <rFont val="Yu Gothic UI"/>
        <family val="2"/>
        <charset val="128"/>
      </rPr>
      <t>？</t>
    </r>
  </si>
  <si>
    <t>2.3.2 乘客人数 NPs</t>
  </si>
  <si>
    <r>
      <rPr>
        <sz val="12"/>
        <rFont val="Yu Gothic UI"/>
        <family val="2"/>
        <charset val="128"/>
      </rPr>
      <t>按国</t>
    </r>
    <r>
      <rPr>
        <sz val="12"/>
        <rFont val="微软雅黑"/>
        <family val="2"/>
        <charset val="134"/>
      </rPr>
      <t>标</t>
    </r>
    <r>
      <rPr>
        <sz val="12"/>
        <rFont val="Yu Gothic UI"/>
        <family val="2"/>
        <charset val="128"/>
      </rPr>
      <t>EN81-1，</t>
    </r>
    <r>
      <rPr>
        <sz val="12"/>
        <rFont val="微软雅黑"/>
        <family val="2"/>
        <charset val="134"/>
      </rPr>
      <t>查</t>
    </r>
    <r>
      <rPr>
        <sz val="12"/>
        <rFont val="Yu Gothic UI"/>
        <family val="2"/>
        <charset val="128"/>
      </rPr>
      <t>表后，</t>
    </r>
  </si>
  <si>
    <r>
      <rPr>
        <sz val="12"/>
        <rFont val="Yu Gothic UI"/>
        <family val="2"/>
        <charset val="128"/>
      </rPr>
      <t xml:space="preserve">NPs </t>
    </r>
    <r>
      <rPr>
        <vertAlign val="subscript"/>
        <sz val="12"/>
        <rFont val="宋体"/>
        <family val="3"/>
        <charset val="134"/>
      </rPr>
      <t>查</t>
    </r>
    <r>
      <rPr>
        <sz val="12"/>
        <rFont val="Yu Gothic UI"/>
        <family val="2"/>
        <charset val="128"/>
      </rPr>
      <t>=</t>
    </r>
  </si>
  <si>
    <r>
      <rPr>
        <sz val="12"/>
        <color theme="1" tint="4.9989318521683403E-2"/>
        <rFont val="Yu Gothic UI"/>
        <family val="2"/>
        <charset val="128"/>
      </rPr>
      <t xml:space="preserve">乘客人数小于 </t>
    </r>
    <r>
      <rPr>
        <sz val="12"/>
        <color theme="1" tint="4.9989318521683403E-2"/>
        <rFont val="微软雅黑"/>
        <family val="2"/>
        <charset val="134"/>
      </rPr>
      <t>载</t>
    </r>
    <r>
      <rPr>
        <sz val="12"/>
        <color theme="1" tint="4.9989318521683403E-2"/>
        <rFont val="Yu Gothic UI"/>
        <family val="2"/>
        <charset val="128"/>
      </rPr>
      <t>重/75？</t>
    </r>
  </si>
  <si>
    <r>
      <rPr>
        <sz val="12"/>
        <rFont val="微软雅黑"/>
        <family val="2"/>
        <charset val="134"/>
      </rPr>
      <t>载</t>
    </r>
    <r>
      <rPr>
        <sz val="12"/>
        <rFont val="Yu Gothic UI"/>
        <family val="2"/>
        <charset val="128"/>
      </rPr>
      <t>重Q/75kg的乘客人数：</t>
    </r>
  </si>
  <si>
    <t>汇总情况</t>
  </si>
  <si>
    <t>NPs =</t>
  </si>
  <si>
    <r>
      <rPr>
        <sz val="12"/>
        <color theme="1" tint="4.9989318521683403E-2"/>
        <rFont val="Yu Gothic UI"/>
        <family val="2"/>
        <charset val="128"/>
      </rPr>
      <t>2.3.3 允</t>
    </r>
    <r>
      <rPr>
        <sz val="12"/>
        <color theme="1" tint="4.9989318521683403E-2"/>
        <rFont val="微软雅黑"/>
        <family val="2"/>
        <charset val="134"/>
      </rPr>
      <t>许</t>
    </r>
    <r>
      <rPr>
        <sz val="12"/>
        <color theme="1" tint="4.9989318521683403E-2"/>
        <rFont val="Yu Gothic UI"/>
        <family val="2"/>
        <charset val="128"/>
      </rPr>
      <t>面</t>
    </r>
    <r>
      <rPr>
        <sz val="12"/>
        <color theme="1" tint="4.9989318521683403E-2"/>
        <rFont val="微软雅黑"/>
        <family val="2"/>
        <charset val="134"/>
      </rPr>
      <t>积</t>
    </r>
    <r>
      <rPr>
        <sz val="12"/>
        <color theme="1" tint="4.9989318521683403E-2"/>
        <rFont val="Yu Gothic UI"/>
        <family val="2"/>
        <charset val="128"/>
      </rPr>
      <t>超</t>
    </r>
    <r>
      <rPr>
        <sz val="12"/>
        <color theme="1" tint="4.9989318521683403E-2"/>
        <rFont val="微软雅黑"/>
        <family val="2"/>
        <charset val="134"/>
      </rPr>
      <t>标</t>
    </r>
    <r>
      <rPr>
        <sz val="12"/>
        <color theme="1" tint="4.9989318521683403E-2"/>
        <rFont val="Yu Gothic UI"/>
        <family val="2"/>
        <charset val="128"/>
      </rPr>
      <t>的最大</t>
    </r>
    <r>
      <rPr>
        <sz val="12"/>
        <color theme="1" tint="4.9989318521683403E-2"/>
        <rFont val="微软雅黑"/>
        <family val="2"/>
        <charset val="134"/>
      </rPr>
      <t>载</t>
    </r>
    <r>
      <rPr>
        <sz val="12"/>
        <color theme="1" tint="4.9989318521683403E-2"/>
        <rFont val="Yu Gothic UI"/>
        <family val="2"/>
        <charset val="128"/>
      </rPr>
      <t>重：</t>
    </r>
  </si>
  <si>
    <r>
      <rPr>
        <sz val="12"/>
        <rFont val="微软雅黑"/>
        <family val="2"/>
        <charset val="134"/>
      </rPr>
      <t>终</t>
    </r>
    <r>
      <rPr>
        <sz val="12"/>
        <rFont val="Yu Gothic UI"/>
        <family val="2"/>
        <charset val="128"/>
      </rPr>
      <t>判面</t>
    </r>
    <r>
      <rPr>
        <sz val="12"/>
        <rFont val="微软雅黑"/>
        <family val="2"/>
        <charset val="134"/>
      </rPr>
      <t>积</t>
    </r>
    <r>
      <rPr>
        <sz val="12"/>
        <rFont val="Yu Gothic UI"/>
        <family val="2"/>
        <charset val="128"/>
      </rPr>
      <t>是否允</t>
    </r>
    <r>
      <rPr>
        <sz val="12"/>
        <rFont val="微软雅黑"/>
        <family val="2"/>
        <charset val="134"/>
      </rPr>
      <t>许</t>
    </r>
    <r>
      <rPr>
        <sz val="12"/>
        <rFont val="Yu Gothic UI"/>
        <family val="2"/>
        <charset val="128"/>
      </rPr>
      <t>？（超出</t>
    </r>
    <r>
      <rPr>
        <sz val="12"/>
        <rFont val="微软雅黑"/>
        <family val="2"/>
        <charset val="134"/>
      </rPr>
      <t>为</t>
    </r>
    <r>
      <rPr>
        <sz val="12"/>
        <rFont val="Yu Gothic UI"/>
        <family val="2"/>
        <charset val="128"/>
      </rPr>
      <t>TRUE）</t>
    </r>
  </si>
  <si>
    <r>
      <rPr>
        <sz val="12"/>
        <rFont val="Yu Gothic UI"/>
        <family val="2"/>
        <charset val="128"/>
      </rPr>
      <t xml:space="preserve">2.4 </t>
    </r>
    <r>
      <rPr>
        <sz val="12"/>
        <rFont val="微软雅黑"/>
        <family val="2"/>
        <charset val="134"/>
      </rPr>
      <t>计</t>
    </r>
    <r>
      <rPr>
        <sz val="12"/>
        <rFont val="Yu Gothic UI"/>
        <family val="2"/>
        <charset val="128"/>
      </rPr>
      <t>算参数</t>
    </r>
  </si>
  <si>
    <t>井道偏差 ST(mm)</t>
  </si>
  <si>
    <r>
      <rPr>
        <sz val="12"/>
        <rFont val="微软雅黑"/>
        <family val="2"/>
        <charset val="134"/>
      </rPr>
      <t>对</t>
    </r>
    <r>
      <rPr>
        <sz val="12"/>
        <rFont val="Yu Gothic UI"/>
        <family val="2"/>
        <charset val="128"/>
      </rPr>
      <t>重</t>
    </r>
    <r>
      <rPr>
        <sz val="12"/>
        <rFont val="微软雅黑"/>
        <family val="2"/>
        <charset val="134"/>
      </rPr>
      <t>导轨</t>
    </r>
    <r>
      <rPr>
        <sz val="12"/>
        <rFont val="Yu Gothic UI"/>
        <family val="2"/>
        <charset val="128"/>
      </rPr>
      <t>距 CWG(mm)</t>
    </r>
  </si>
  <si>
    <r>
      <rPr>
        <b/>
        <sz val="12"/>
        <rFont val="Yu Gothic UI"/>
        <family val="2"/>
        <charset val="128"/>
      </rPr>
      <t>3 井道</t>
    </r>
    <r>
      <rPr>
        <b/>
        <sz val="12"/>
        <rFont val="微软雅黑"/>
        <family val="2"/>
        <charset val="134"/>
      </rPr>
      <t>宽</t>
    </r>
    <r>
      <rPr>
        <b/>
        <sz val="12"/>
        <rFont val="Yu Gothic UI"/>
        <family val="2"/>
        <charset val="128"/>
      </rPr>
      <t>度</t>
    </r>
    <r>
      <rPr>
        <b/>
        <sz val="12"/>
        <rFont val="微软雅黑"/>
        <family val="2"/>
        <charset val="134"/>
      </rPr>
      <t>计</t>
    </r>
    <r>
      <rPr>
        <b/>
        <sz val="12"/>
        <rFont val="Yu Gothic UI"/>
        <family val="2"/>
        <charset val="128"/>
      </rPr>
      <t>算</t>
    </r>
  </si>
  <si>
    <r>
      <rPr>
        <sz val="12"/>
        <rFont val="Yu Gothic UI"/>
        <family val="2"/>
        <charset val="128"/>
      </rPr>
      <t xml:space="preserve">3.1 </t>
    </r>
    <r>
      <rPr>
        <sz val="12"/>
        <rFont val="微软雅黑"/>
        <family val="2"/>
        <charset val="134"/>
      </rPr>
      <t>轿厢导轨</t>
    </r>
    <r>
      <rPr>
        <sz val="12"/>
        <rFont val="Yu Gothic UI"/>
        <family val="2"/>
        <charset val="128"/>
      </rPr>
      <t>横跨</t>
    </r>
    <r>
      <rPr>
        <sz val="12"/>
        <rFont val="微软雅黑"/>
        <family val="2"/>
        <charset val="134"/>
      </rPr>
      <t>线</t>
    </r>
  </si>
  <si>
    <r>
      <rPr>
        <sz val="12"/>
        <rFont val="微软雅黑"/>
        <family val="2"/>
        <charset val="134"/>
      </rPr>
      <t>轿厢</t>
    </r>
    <r>
      <rPr>
        <sz val="12"/>
        <rFont val="Yu Gothic UI"/>
        <family val="2"/>
        <charset val="128"/>
      </rPr>
      <t>内壁至井道最小距</t>
    </r>
    <r>
      <rPr>
        <sz val="12"/>
        <rFont val="微软雅黑"/>
        <family val="2"/>
        <charset val="134"/>
      </rPr>
      <t>离</t>
    </r>
    <r>
      <rPr>
        <sz val="12"/>
        <rFont val="Yu Gothic UI"/>
        <family val="2"/>
        <charset val="128"/>
      </rPr>
      <t>（小</t>
    </r>
    <r>
      <rPr>
        <sz val="12"/>
        <rFont val="微软雅黑"/>
        <family val="2"/>
        <charset val="134"/>
      </rPr>
      <t>撑</t>
    </r>
    <r>
      <rPr>
        <sz val="12"/>
        <rFont val="Yu Gothic UI"/>
        <family val="2"/>
        <charset val="128"/>
      </rPr>
      <t>架） CSD</t>
    </r>
    <r>
      <rPr>
        <vertAlign val="subscript"/>
        <sz val="12"/>
        <rFont val="Yu Gothic UI"/>
        <family val="2"/>
        <charset val="128"/>
      </rPr>
      <t>1</t>
    </r>
    <r>
      <rPr>
        <sz val="12"/>
        <rFont val="Yu Gothic UI"/>
        <family val="2"/>
        <charset val="128"/>
      </rPr>
      <t>(mm)</t>
    </r>
  </si>
  <si>
    <r>
      <rPr>
        <sz val="12"/>
        <rFont val="微软雅黑"/>
        <family val="2"/>
        <charset val="134"/>
      </rPr>
      <t>轿厢</t>
    </r>
    <r>
      <rPr>
        <sz val="12"/>
        <rFont val="Yu Gothic UI"/>
        <family val="2"/>
        <charset val="128"/>
      </rPr>
      <t>内壁至井道最小距</t>
    </r>
    <r>
      <rPr>
        <sz val="12"/>
        <rFont val="微软雅黑"/>
        <family val="2"/>
        <charset val="134"/>
      </rPr>
      <t>离</t>
    </r>
    <r>
      <rPr>
        <sz val="12"/>
        <rFont val="Yu Gothic UI"/>
        <family val="2"/>
        <charset val="128"/>
      </rPr>
      <t>（大</t>
    </r>
    <r>
      <rPr>
        <sz val="12"/>
        <rFont val="微软雅黑"/>
        <family val="2"/>
        <charset val="134"/>
      </rPr>
      <t>撑</t>
    </r>
    <r>
      <rPr>
        <sz val="12"/>
        <rFont val="Yu Gothic UI"/>
        <family val="2"/>
        <charset val="128"/>
      </rPr>
      <t>架） CSD</t>
    </r>
    <r>
      <rPr>
        <vertAlign val="subscript"/>
        <sz val="12"/>
        <rFont val="Yu Gothic UI"/>
        <family val="2"/>
        <charset val="128"/>
      </rPr>
      <t>2</t>
    </r>
    <r>
      <rPr>
        <sz val="12"/>
        <rFont val="Yu Gothic UI"/>
        <family val="2"/>
        <charset val="128"/>
      </rPr>
      <t>(mm)</t>
    </r>
  </si>
  <si>
    <r>
      <rPr>
        <sz val="12"/>
        <rFont val="微软雅黑"/>
        <family val="2"/>
        <charset val="134"/>
      </rPr>
      <t>极</t>
    </r>
    <r>
      <rPr>
        <sz val="12"/>
        <rFont val="Yu Gothic UI"/>
        <family val="2"/>
        <charset val="128"/>
      </rPr>
      <t>限点坐</t>
    </r>
    <r>
      <rPr>
        <sz val="12"/>
        <rFont val="微软雅黑"/>
        <family val="2"/>
        <charset val="134"/>
      </rPr>
      <t>标</t>
    </r>
  </si>
  <si>
    <t>左端点：</t>
  </si>
  <si>
    <r>
      <rPr>
        <sz val="12"/>
        <rFont val="Yu Gothic UI"/>
        <family val="2"/>
        <charset val="128"/>
      </rPr>
      <t>默</t>
    </r>
    <r>
      <rPr>
        <sz val="12"/>
        <rFont val="宋体"/>
        <family val="3"/>
        <charset val="134"/>
      </rPr>
      <t>认对</t>
    </r>
    <r>
      <rPr>
        <sz val="12"/>
        <rFont val="Yu Gothic UI"/>
        <family val="2"/>
        <charset val="128"/>
      </rPr>
      <t>重</t>
    </r>
    <r>
      <rPr>
        <sz val="12"/>
        <rFont val="宋体"/>
        <family val="3"/>
        <charset val="134"/>
      </rPr>
      <t>侧</t>
    </r>
    <r>
      <rPr>
        <sz val="12"/>
        <rFont val="Yu Gothic UI"/>
        <family val="2"/>
        <charset val="128"/>
      </rPr>
      <t>置</t>
    </r>
    <r>
      <rPr>
        <sz val="12"/>
        <rFont val="宋体"/>
        <family val="3"/>
        <charset val="134"/>
      </rPr>
      <t>时为</t>
    </r>
    <r>
      <rPr>
        <sz val="12"/>
        <rFont val="Yu Gothic UI"/>
        <family val="2"/>
        <charset val="128"/>
      </rPr>
      <t>左置</t>
    </r>
  </si>
  <si>
    <t>右端点：</t>
  </si>
  <si>
    <r>
      <rPr>
        <sz val="12"/>
        <rFont val="Yu Gothic UI"/>
        <family val="2"/>
        <charset val="128"/>
      </rPr>
      <t xml:space="preserve">3.2 </t>
    </r>
    <r>
      <rPr>
        <sz val="12"/>
        <rFont val="TKTypeRegular"/>
        <family val="1"/>
      </rPr>
      <t>对</t>
    </r>
    <r>
      <rPr>
        <sz val="12"/>
        <rFont val="Yu Gothic UI"/>
        <family val="2"/>
        <charset val="128"/>
      </rPr>
      <t>重横跨</t>
    </r>
    <r>
      <rPr>
        <sz val="12"/>
        <rFont val="TKTypeRegular"/>
        <family val="1"/>
      </rPr>
      <t>线</t>
    </r>
    <r>
      <rPr>
        <sz val="12"/>
        <rFont val="Yu Gothic UI"/>
        <family val="2"/>
        <charset val="128"/>
      </rPr>
      <t>（</t>
    </r>
    <r>
      <rPr>
        <sz val="12"/>
        <rFont val="TKTypeRegular"/>
        <family val="1"/>
      </rPr>
      <t>仅对</t>
    </r>
    <r>
      <rPr>
        <sz val="12"/>
        <rFont val="Yu Gothic UI"/>
        <family val="2"/>
        <charset val="128"/>
      </rPr>
      <t>重REAR</t>
    </r>
    <r>
      <rPr>
        <sz val="12"/>
        <rFont val="TKTypeRegular"/>
        <family val="1"/>
      </rPr>
      <t>时计</t>
    </r>
    <r>
      <rPr>
        <sz val="12"/>
        <rFont val="Yu Gothic UI"/>
        <family val="2"/>
        <charset val="128"/>
      </rPr>
      <t>算）</t>
    </r>
  </si>
  <si>
    <r>
      <rPr>
        <sz val="12"/>
        <rFont val="微软雅黑"/>
        <family val="2"/>
        <charset val="134"/>
      </rPr>
      <t>对</t>
    </r>
    <r>
      <rPr>
        <sz val="12"/>
        <rFont val="Yu Gothic UI"/>
        <family val="2"/>
        <charset val="128"/>
      </rPr>
      <t>重</t>
    </r>
    <r>
      <rPr>
        <sz val="12"/>
        <rFont val="微软雅黑"/>
        <family val="2"/>
        <charset val="134"/>
      </rPr>
      <t>导轨</t>
    </r>
    <r>
      <rPr>
        <sz val="12"/>
        <rFont val="Yu Gothic UI"/>
        <family val="2"/>
        <charset val="128"/>
      </rPr>
      <t>及</t>
    </r>
    <r>
      <rPr>
        <sz val="12"/>
        <rFont val="微软雅黑"/>
        <family val="2"/>
        <charset val="134"/>
      </rPr>
      <t>撑</t>
    </r>
    <r>
      <rPr>
        <sz val="12"/>
        <rFont val="Yu Gothic UI"/>
        <family val="2"/>
        <charset val="128"/>
      </rPr>
      <t>架</t>
    </r>
    <r>
      <rPr>
        <sz val="12"/>
        <rFont val="微软雅黑"/>
        <family val="2"/>
        <charset val="134"/>
      </rPr>
      <t>宽</t>
    </r>
    <r>
      <rPr>
        <sz val="12"/>
        <rFont val="Yu Gothic UI"/>
        <family val="2"/>
        <charset val="128"/>
      </rPr>
      <t>度 CWGB</t>
    </r>
    <r>
      <rPr>
        <vertAlign val="subscript"/>
        <sz val="12"/>
        <rFont val="Yu Gothic UI"/>
        <family val="2"/>
        <charset val="128"/>
      </rPr>
      <t>1</t>
    </r>
    <r>
      <rPr>
        <sz val="12"/>
        <rFont val="Yu Gothic UI"/>
        <family val="2"/>
        <charset val="128"/>
      </rPr>
      <t>(mm)</t>
    </r>
  </si>
  <si>
    <r>
      <rPr>
        <sz val="12"/>
        <rFont val="微软雅黑"/>
        <family val="2"/>
        <charset val="134"/>
      </rPr>
      <t>对</t>
    </r>
    <r>
      <rPr>
        <sz val="12"/>
        <rFont val="Yu Gothic UI"/>
        <family val="2"/>
        <charset val="128"/>
      </rPr>
      <t>重偏心量 CWe(mm)</t>
    </r>
  </si>
  <si>
    <r>
      <rPr>
        <sz val="12"/>
        <rFont val="宋体"/>
        <family val="3"/>
        <charset val="134"/>
      </rPr>
      <t>对</t>
    </r>
    <r>
      <rPr>
        <sz val="12"/>
        <rFont val="Yu Gothic UI"/>
        <family val="2"/>
        <charset val="128"/>
      </rPr>
      <t>重后置</t>
    </r>
    <r>
      <rPr>
        <sz val="12"/>
        <rFont val="宋体"/>
        <family val="3"/>
        <charset val="134"/>
      </rPr>
      <t>时</t>
    </r>
    <r>
      <rPr>
        <sz val="12"/>
        <rFont val="Yu Gothic UI"/>
        <family val="2"/>
        <charset val="128"/>
      </rPr>
      <t>默</t>
    </r>
    <r>
      <rPr>
        <sz val="12"/>
        <rFont val="宋体"/>
        <family val="3"/>
        <charset val="134"/>
      </rPr>
      <t>认</t>
    </r>
    <r>
      <rPr>
        <sz val="12"/>
        <rFont val="Yu Gothic UI"/>
        <family val="2"/>
        <charset val="128"/>
      </rPr>
      <t>后左置</t>
    </r>
  </si>
  <si>
    <r>
      <rPr>
        <sz val="12"/>
        <rFont val="Yu Gothic UI"/>
        <family val="2"/>
        <charset val="128"/>
      </rPr>
      <t xml:space="preserve">3.3 </t>
    </r>
    <r>
      <rPr>
        <sz val="12"/>
        <rFont val="微软雅黑"/>
        <family val="2"/>
        <charset val="134"/>
      </rPr>
      <t>厅门</t>
    </r>
    <r>
      <rPr>
        <sz val="12"/>
        <rFont val="Yu Gothic UI"/>
        <family val="2"/>
        <charset val="128"/>
      </rPr>
      <t>横跨</t>
    </r>
    <r>
      <rPr>
        <sz val="12"/>
        <rFont val="微软雅黑"/>
        <family val="2"/>
        <charset val="134"/>
      </rPr>
      <t>线</t>
    </r>
  </si>
  <si>
    <r>
      <rPr>
        <sz val="12"/>
        <rFont val="微软雅黑"/>
        <family val="2"/>
        <charset val="134"/>
      </rPr>
      <t>厅门</t>
    </r>
    <r>
      <rPr>
        <sz val="12"/>
        <rFont val="Yu Gothic UI"/>
        <family val="2"/>
        <charset val="128"/>
      </rPr>
      <t>左右端点坐</t>
    </r>
    <r>
      <rPr>
        <sz val="12"/>
        <rFont val="微软雅黑"/>
        <family val="2"/>
        <charset val="134"/>
      </rPr>
      <t>标</t>
    </r>
  </si>
  <si>
    <r>
      <rPr>
        <sz val="12"/>
        <rFont val="Yu Gothic UI"/>
        <family val="2"/>
        <charset val="128"/>
      </rPr>
      <t>左</t>
    </r>
    <r>
      <rPr>
        <sz val="12"/>
        <rFont val="等线"/>
        <family val="3"/>
        <charset val="134"/>
      </rPr>
      <t>门头宽</t>
    </r>
    <r>
      <rPr>
        <sz val="12"/>
        <rFont val="Yu Gothic UI"/>
        <family val="2"/>
        <charset val="128"/>
      </rPr>
      <t>度尺寸ΔW=</t>
    </r>
  </si>
  <si>
    <r>
      <rPr>
        <sz val="12"/>
        <rFont val="Yu Gothic UI"/>
        <family val="2"/>
        <charset val="128"/>
      </rPr>
      <t>右</t>
    </r>
    <r>
      <rPr>
        <sz val="12"/>
        <rFont val="TKTypeRegular"/>
        <family val="1"/>
      </rPr>
      <t>门头宽</t>
    </r>
    <r>
      <rPr>
        <sz val="12"/>
        <rFont val="Yu Gothic UI"/>
        <family val="2"/>
        <charset val="128"/>
      </rPr>
      <t>度尺寸ΔW'=</t>
    </r>
  </si>
  <si>
    <r>
      <rPr>
        <sz val="12"/>
        <rFont val="微软雅黑"/>
        <family val="2"/>
        <charset val="134"/>
      </rPr>
      <t>门</t>
    </r>
    <r>
      <rPr>
        <sz val="12"/>
        <rFont val="Yu Gothic UI"/>
        <family val="2"/>
        <charset val="128"/>
      </rPr>
      <t>偏心量 De(mm)</t>
    </r>
  </si>
  <si>
    <r>
      <rPr>
        <sz val="12"/>
        <rFont val="Yu Gothic UI"/>
        <family val="2"/>
        <charset val="128"/>
      </rPr>
      <t>旁</t>
    </r>
    <r>
      <rPr>
        <sz val="12"/>
        <rFont val="宋体"/>
        <family val="3"/>
        <charset val="134"/>
      </rPr>
      <t>开</t>
    </r>
    <r>
      <rPr>
        <sz val="12"/>
        <rFont val="Yu Gothic UI"/>
        <family val="2"/>
        <charset val="128"/>
      </rPr>
      <t>的偏心</t>
    </r>
    <r>
      <rPr>
        <sz val="12"/>
        <rFont val="宋体"/>
        <family val="3"/>
        <charset val="134"/>
      </rPr>
      <t>值</t>
    </r>
    <r>
      <rPr>
        <sz val="12"/>
        <rFont val="Yu Gothic UI"/>
        <family val="2"/>
        <charset val="128"/>
      </rPr>
      <t>在De</t>
    </r>
    <r>
      <rPr>
        <sz val="12"/>
        <rFont val="宋体"/>
        <family val="3"/>
        <charset val="134"/>
      </rPr>
      <t>处</t>
    </r>
    <r>
      <rPr>
        <sz val="12"/>
        <rFont val="Yu Gothic UI"/>
        <family val="2"/>
        <charset val="128"/>
      </rPr>
      <t>定</t>
    </r>
    <r>
      <rPr>
        <sz val="12"/>
        <rFont val="宋体"/>
        <family val="3"/>
        <charset val="134"/>
      </rPr>
      <t>义</t>
    </r>
    <r>
      <rPr>
        <sz val="12"/>
        <rFont val="Yu Gothic UI"/>
        <family val="2"/>
        <charset val="128"/>
      </rPr>
      <t>控制</t>
    </r>
  </si>
  <si>
    <r>
      <rPr>
        <sz val="12"/>
        <rFont val="Yu Gothic UI"/>
        <family val="2"/>
        <charset val="128"/>
      </rPr>
      <t xml:space="preserve"> X3</t>
    </r>
    <r>
      <rPr>
        <vertAlign val="subscript"/>
        <sz val="12"/>
        <rFont val="Yu Gothic UI"/>
        <family val="2"/>
        <charset val="128"/>
      </rPr>
      <t xml:space="preserve">L </t>
    </r>
    <r>
      <rPr>
        <sz val="12"/>
        <rFont val="Yu Gothic UI"/>
        <family val="2"/>
        <charset val="128"/>
      </rPr>
      <t>= De + X3</t>
    </r>
    <r>
      <rPr>
        <vertAlign val="subscript"/>
        <sz val="12"/>
        <rFont val="Yu Gothic UI"/>
        <family val="2"/>
        <charset val="128"/>
      </rPr>
      <t>L0</t>
    </r>
  </si>
  <si>
    <r>
      <rPr>
        <sz val="12"/>
        <rFont val="Yu Gothic UI"/>
        <family val="2"/>
        <charset val="128"/>
      </rPr>
      <t xml:space="preserve"> X3</t>
    </r>
    <r>
      <rPr>
        <vertAlign val="subscript"/>
        <sz val="12"/>
        <rFont val="Yu Gothic UI"/>
        <family val="2"/>
        <charset val="128"/>
      </rPr>
      <t xml:space="preserve">R </t>
    </r>
    <r>
      <rPr>
        <sz val="12"/>
        <rFont val="Yu Gothic UI"/>
        <family val="2"/>
        <charset val="128"/>
      </rPr>
      <t>= De + X3</t>
    </r>
    <r>
      <rPr>
        <vertAlign val="subscript"/>
        <sz val="12"/>
        <rFont val="Yu Gothic UI"/>
        <family val="2"/>
        <charset val="128"/>
      </rPr>
      <t>R0</t>
    </r>
  </si>
  <si>
    <r>
      <rPr>
        <sz val="12"/>
        <rFont val="Yu Gothic UI"/>
        <family val="2"/>
        <charset val="128"/>
      </rPr>
      <t>3.4 井道</t>
    </r>
    <r>
      <rPr>
        <sz val="12"/>
        <rFont val="微软雅黑"/>
        <family val="2"/>
        <charset val="134"/>
      </rPr>
      <t>宽</t>
    </r>
    <r>
      <rPr>
        <sz val="12"/>
        <rFont val="Yu Gothic UI"/>
        <family val="2"/>
        <charset val="128"/>
      </rPr>
      <t>度</t>
    </r>
    <r>
      <rPr>
        <sz val="12"/>
        <rFont val="微软雅黑"/>
        <family val="2"/>
        <charset val="134"/>
      </rPr>
      <t>计</t>
    </r>
    <r>
      <rPr>
        <sz val="12"/>
        <rFont val="Yu Gothic UI"/>
        <family val="2"/>
        <charset val="128"/>
      </rPr>
      <t>算</t>
    </r>
  </si>
  <si>
    <r>
      <rPr>
        <sz val="12"/>
        <rFont val="Yu Gothic UI"/>
        <family val="2"/>
        <charset val="128"/>
      </rPr>
      <t xml:space="preserve"> X</t>
    </r>
    <r>
      <rPr>
        <vertAlign val="subscript"/>
        <sz val="12"/>
        <rFont val="Yu Gothic UI"/>
        <family val="2"/>
        <charset val="128"/>
      </rPr>
      <t xml:space="preserve">L </t>
    </r>
    <r>
      <rPr>
        <sz val="12"/>
        <rFont val="Yu Gothic UI"/>
        <family val="2"/>
        <charset val="128"/>
      </rPr>
      <t>= MIN(X1</t>
    </r>
    <r>
      <rPr>
        <vertAlign val="subscript"/>
        <sz val="12"/>
        <rFont val="Yu Gothic UI"/>
        <family val="2"/>
        <charset val="128"/>
      </rPr>
      <t>L</t>
    </r>
    <r>
      <rPr>
        <sz val="12"/>
        <rFont val="Yu Gothic UI"/>
        <family val="2"/>
        <charset val="128"/>
      </rPr>
      <t>, X2</t>
    </r>
    <r>
      <rPr>
        <vertAlign val="subscript"/>
        <sz val="12"/>
        <rFont val="Yu Gothic UI"/>
        <family val="2"/>
        <charset val="128"/>
      </rPr>
      <t>L</t>
    </r>
    <r>
      <rPr>
        <sz val="12"/>
        <rFont val="Yu Gothic UI"/>
        <family val="2"/>
        <charset val="128"/>
      </rPr>
      <t>,X3</t>
    </r>
    <r>
      <rPr>
        <vertAlign val="subscript"/>
        <sz val="12"/>
        <rFont val="Yu Gothic UI"/>
        <family val="2"/>
        <charset val="128"/>
      </rPr>
      <t>L</t>
    </r>
    <r>
      <rPr>
        <sz val="12"/>
        <rFont val="Yu Gothic UI"/>
        <family val="2"/>
        <charset val="128"/>
      </rPr>
      <t xml:space="preserve">) </t>
    </r>
  </si>
  <si>
    <r>
      <rPr>
        <sz val="12"/>
        <rFont val="Yu Gothic UI"/>
        <family val="2"/>
        <charset val="128"/>
      </rPr>
      <t xml:space="preserve"> X</t>
    </r>
    <r>
      <rPr>
        <vertAlign val="subscript"/>
        <sz val="12"/>
        <rFont val="Yu Gothic UI"/>
        <family val="2"/>
        <charset val="128"/>
      </rPr>
      <t xml:space="preserve">R </t>
    </r>
    <r>
      <rPr>
        <sz val="12"/>
        <rFont val="Yu Gothic UI"/>
        <family val="2"/>
        <charset val="128"/>
      </rPr>
      <t>= MAX(X1</t>
    </r>
    <r>
      <rPr>
        <vertAlign val="subscript"/>
        <sz val="12"/>
        <rFont val="Yu Gothic UI"/>
        <family val="2"/>
        <charset val="128"/>
      </rPr>
      <t>R</t>
    </r>
    <r>
      <rPr>
        <sz val="12"/>
        <rFont val="Yu Gothic UI"/>
        <family val="2"/>
        <charset val="128"/>
      </rPr>
      <t>,X2</t>
    </r>
    <r>
      <rPr>
        <vertAlign val="subscript"/>
        <sz val="12"/>
        <rFont val="Yu Gothic UI"/>
        <family val="2"/>
        <charset val="128"/>
      </rPr>
      <t>R</t>
    </r>
    <r>
      <rPr>
        <sz val="12"/>
        <rFont val="Yu Gothic UI"/>
        <family val="2"/>
        <charset val="128"/>
      </rPr>
      <t>,X3</t>
    </r>
    <r>
      <rPr>
        <vertAlign val="subscript"/>
        <sz val="12"/>
        <rFont val="Yu Gothic UI"/>
        <family val="2"/>
        <charset val="128"/>
      </rPr>
      <t>R</t>
    </r>
    <r>
      <rPr>
        <sz val="12"/>
        <rFont val="Yu Gothic UI"/>
        <family val="2"/>
        <charset val="128"/>
      </rPr>
      <t xml:space="preserve">) </t>
    </r>
  </si>
  <si>
    <r>
      <rPr>
        <sz val="12"/>
        <rFont val="Yu Gothic UI"/>
        <family val="2"/>
        <charset val="128"/>
      </rPr>
      <t>井道</t>
    </r>
    <r>
      <rPr>
        <sz val="12"/>
        <rFont val="微软雅黑"/>
        <family val="2"/>
        <charset val="134"/>
      </rPr>
      <t>宽</t>
    </r>
    <r>
      <rPr>
        <sz val="12"/>
        <rFont val="Yu Gothic UI"/>
        <family val="2"/>
        <charset val="128"/>
      </rPr>
      <t>度 SW</t>
    </r>
    <r>
      <rPr>
        <vertAlign val="subscript"/>
        <sz val="12"/>
        <rFont val="Yu Gothic UI"/>
        <family val="2"/>
        <charset val="128"/>
      </rPr>
      <t>t</t>
    </r>
    <r>
      <rPr>
        <sz val="12"/>
        <rFont val="Yu Gothic UI"/>
        <family val="2"/>
        <charset val="128"/>
      </rPr>
      <t>(mm)</t>
    </r>
  </si>
  <si>
    <r>
      <rPr>
        <sz val="12"/>
        <rFont val="Yu Gothic UI"/>
        <family val="2"/>
        <charset val="128"/>
      </rPr>
      <t xml:space="preserve"> SW</t>
    </r>
    <r>
      <rPr>
        <vertAlign val="subscript"/>
        <sz val="12"/>
        <rFont val="Yu Gothic UI"/>
        <family val="2"/>
        <charset val="128"/>
      </rPr>
      <t>c</t>
    </r>
    <r>
      <rPr>
        <sz val="12"/>
        <rFont val="Yu Gothic UI"/>
        <family val="2"/>
        <charset val="128"/>
      </rPr>
      <t xml:space="preserve"> = X</t>
    </r>
    <r>
      <rPr>
        <vertAlign val="subscript"/>
        <sz val="12"/>
        <rFont val="Yu Gothic UI"/>
        <family val="2"/>
        <charset val="128"/>
      </rPr>
      <t>R</t>
    </r>
    <r>
      <rPr>
        <sz val="12"/>
        <rFont val="Yu Gothic UI"/>
        <family val="2"/>
        <charset val="128"/>
      </rPr>
      <t>-X</t>
    </r>
    <r>
      <rPr>
        <vertAlign val="subscript"/>
        <sz val="12"/>
        <rFont val="Yu Gothic UI"/>
        <family val="2"/>
        <charset val="128"/>
      </rPr>
      <t xml:space="preserve">L </t>
    </r>
  </si>
  <si>
    <r>
      <rPr>
        <b/>
        <sz val="12"/>
        <rFont val="Yu Gothic UI"/>
        <family val="2"/>
        <charset val="128"/>
      </rPr>
      <t>4 井道深度</t>
    </r>
    <r>
      <rPr>
        <b/>
        <sz val="12"/>
        <rFont val="微软雅黑"/>
        <family val="2"/>
        <charset val="134"/>
      </rPr>
      <t>计</t>
    </r>
    <r>
      <rPr>
        <b/>
        <sz val="12"/>
        <rFont val="Yu Gothic UI"/>
        <family val="2"/>
        <charset val="128"/>
      </rPr>
      <t>算</t>
    </r>
  </si>
  <si>
    <r>
      <rPr>
        <sz val="12"/>
        <rFont val="Yu Gothic UI"/>
        <family val="2"/>
        <charset val="128"/>
      </rPr>
      <t xml:space="preserve">4.1 </t>
    </r>
    <r>
      <rPr>
        <sz val="12"/>
        <rFont val="微软雅黑"/>
        <family val="2"/>
        <charset val="134"/>
      </rPr>
      <t>轿厢</t>
    </r>
    <r>
      <rPr>
        <sz val="12"/>
        <rFont val="Yu Gothic UI"/>
        <family val="2"/>
        <charset val="128"/>
      </rPr>
      <t>中心</t>
    </r>
    <r>
      <rPr>
        <sz val="12"/>
        <rFont val="微软雅黑"/>
        <family val="2"/>
        <charset val="134"/>
      </rPr>
      <t>纵</t>
    </r>
    <r>
      <rPr>
        <sz val="12"/>
        <rFont val="Yu Gothic UI"/>
        <family val="2"/>
        <charset val="128"/>
      </rPr>
      <t>跨</t>
    </r>
    <r>
      <rPr>
        <sz val="12"/>
        <rFont val="微软雅黑"/>
        <family val="2"/>
        <charset val="134"/>
      </rPr>
      <t>线</t>
    </r>
  </si>
  <si>
    <r>
      <rPr>
        <sz val="12"/>
        <rFont val="微软雅黑"/>
        <family val="2"/>
        <charset val="134"/>
      </rPr>
      <t>厅门</t>
    </r>
    <r>
      <rPr>
        <sz val="12"/>
        <rFont val="Yu Gothic UI"/>
        <family val="2"/>
        <charset val="128"/>
      </rPr>
      <t>安装尺寸 DS(mm)</t>
    </r>
  </si>
  <si>
    <r>
      <rPr>
        <sz val="12"/>
        <rFont val="微软雅黑"/>
        <family val="2"/>
        <charset val="134"/>
      </rPr>
      <t>轿厢</t>
    </r>
    <r>
      <rPr>
        <sz val="12"/>
        <rFont val="Yu Gothic UI"/>
        <family val="2"/>
        <charset val="128"/>
      </rPr>
      <t>入口深度 FD(mm)</t>
    </r>
  </si>
  <si>
    <r>
      <rPr>
        <sz val="10"/>
        <rFont val="TKTypeRegular"/>
        <family val="1"/>
      </rPr>
      <t>轿厢</t>
    </r>
    <r>
      <rPr>
        <sz val="10"/>
        <rFont val="Yu Gothic UI"/>
        <family val="2"/>
        <charset val="128"/>
      </rPr>
      <t>内壁至井道最小距</t>
    </r>
    <r>
      <rPr>
        <sz val="10"/>
        <rFont val="TKTypeRegular"/>
        <family val="1"/>
      </rPr>
      <t>离</t>
    </r>
    <r>
      <rPr>
        <sz val="10"/>
        <rFont val="Yu Gothic UI"/>
        <family val="2"/>
        <charset val="128"/>
      </rPr>
      <t>(后壁、REAR) CSD3(mm)</t>
    </r>
  </si>
  <si>
    <r>
      <rPr>
        <sz val="10"/>
        <rFont val="TKTypeRegular"/>
        <family val="1"/>
      </rPr>
      <t>轿厢</t>
    </r>
    <r>
      <rPr>
        <sz val="10"/>
        <rFont val="Yu Gothic UI"/>
        <family val="2"/>
        <charset val="128"/>
      </rPr>
      <t>内壁至井道最小距</t>
    </r>
    <r>
      <rPr>
        <sz val="10"/>
        <rFont val="TKTypeRegular"/>
        <family val="1"/>
      </rPr>
      <t>离</t>
    </r>
    <r>
      <rPr>
        <sz val="10"/>
        <rFont val="Yu Gothic UI"/>
        <family val="2"/>
        <charset val="128"/>
      </rPr>
      <t>(后壁、SIDE) CSD4(mm)</t>
    </r>
  </si>
  <si>
    <r>
      <rPr>
        <sz val="12"/>
        <rFont val="TKTypeRegular"/>
        <family val="1"/>
      </rPr>
      <t>标</t>
    </r>
    <r>
      <rPr>
        <sz val="12"/>
        <rFont val="Yu Gothic UI"/>
        <family val="2"/>
        <charset val="128"/>
      </rPr>
      <t>准KTV偏差</t>
    </r>
    <r>
      <rPr>
        <sz val="12"/>
        <rFont val="TKTypeRegular"/>
        <family val="1"/>
      </rPr>
      <t>值极</t>
    </r>
    <r>
      <rPr>
        <sz val="12"/>
        <rFont val="Yu Gothic UI"/>
        <family val="2"/>
        <charset val="128"/>
      </rPr>
      <t>限 KTVx(mm)</t>
    </r>
  </si>
  <si>
    <r>
      <rPr>
        <sz val="12"/>
        <rFont val="TKTypeRegular"/>
        <family val="1"/>
      </rPr>
      <t>门头边缘</t>
    </r>
    <r>
      <rPr>
        <sz val="12"/>
        <rFont val="Yu Gothic UI"/>
        <family val="2"/>
        <charset val="128"/>
      </rPr>
      <t>至</t>
    </r>
    <r>
      <rPr>
        <sz val="12"/>
        <rFont val="TKTypeRegular"/>
        <family val="1"/>
      </rPr>
      <t>轿厢</t>
    </r>
    <r>
      <rPr>
        <sz val="12"/>
        <rFont val="Yu Gothic UI"/>
        <family val="2"/>
        <charset val="128"/>
      </rPr>
      <t>前壁距</t>
    </r>
    <r>
      <rPr>
        <sz val="12"/>
        <rFont val="TKTypeRegular"/>
        <family val="1"/>
      </rPr>
      <t>离</t>
    </r>
    <r>
      <rPr>
        <sz val="12"/>
        <rFont val="Yu Gothic UI"/>
        <family val="2"/>
        <charset val="128"/>
      </rPr>
      <t xml:space="preserve"> DD(mm)</t>
    </r>
  </si>
  <si>
    <r>
      <rPr>
        <sz val="12"/>
        <rFont val="宋体"/>
        <family val="3"/>
        <charset val="134"/>
      </rPr>
      <t>轿厢</t>
    </r>
    <r>
      <rPr>
        <sz val="12"/>
        <rFont val="Yu Gothic UI"/>
        <family val="2"/>
        <charset val="128"/>
      </rPr>
      <t>地坎</t>
    </r>
    <r>
      <rPr>
        <sz val="12"/>
        <rFont val="宋体"/>
        <family val="3"/>
        <charset val="134"/>
      </rPr>
      <t>宽</t>
    </r>
    <r>
      <rPr>
        <sz val="12"/>
        <rFont val="Yu Gothic UI"/>
        <family val="2"/>
        <charset val="128"/>
      </rPr>
      <t>度CDSW</t>
    </r>
  </si>
  <si>
    <r>
      <rPr>
        <sz val="12"/>
        <rFont val="微软雅黑"/>
        <family val="2"/>
        <charset val="134"/>
      </rPr>
      <t>轿厢</t>
    </r>
    <r>
      <rPr>
        <sz val="12"/>
        <rFont val="Yu Gothic UI"/>
        <family val="2"/>
        <charset val="128"/>
      </rPr>
      <t>前壁至</t>
    </r>
    <r>
      <rPr>
        <sz val="12"/>
        <rFont val="微软雅黑"/>
        <family val="2"/>
        <charset val="134"/>
      </rPr>
      <t>轿厢</t>
    </r>
    <r>
      <rPr>
        <sz val="12"/>
        <rFont val="Yu Gothic UI"/>
        <family val="2"/>
        <charset val="128"/>
      </rPr>
      <t>中心距</t>
    </r>
    <r>
      <rPr>
        <sz val="12"/>
        <rFont val="微软雅黑"/>
        <family val="2"/>
        <charset val="134"/>
      </rPr>
      <t>离</t>
    </r>
    <r>
      <rPr>
        <sz val="12"/>
        <rFont val="Yu Gothic UI"/>
        <family val="2"/>
        <charset val="128"/>
      </rPr>
      <t>(</t>
    </r>
    <r>
      <rPr>
        <sz val="12"/>
        <rFont val="微软雅黑"/>
        <family val="2"/>
        <charset val="134"/>
      </rPr>
      <t>标</t>
    </r>
    <r>
      <rPr>
        <sz val="12"/>
        <rFont val="Yu Gothic UI"/>
        <family val="2"/>
        <charset val="128"/>
      </rPr>
      <t>准</t>
    </r>
    <r>
      <rPr>
        <sz val="12"/>
        <rFont val="微软雅黑"/>
        <family val="2"/>
        <charset val="134"/>
      </rPr>
      <t>值</t>
    </r>
    <r>
      <rPr>
        <sz val="12"/>
        <rFont val="Yu Gothic UI"/>
        <family val="2"/>
        <charset val="128"/>
      </rPr>
      <t>) KTV</t>
    </r>
    <r>
      <rPr>
        <vertAlign val="subscript"/>
        <sz val="12"/>
        <rFont val="Yu Gothic UI"/>
        <family val="2"/>
        <charset val="128"/>
      </rPr>
      <t>S</t>
    </r>
    <r>
      <rPr>
        <sz val="12"/>
        <rFont val="Yu Gothic UI"/>
        <family val="2"/>
        <charset val="128"/>
      </rPr>
      <t>(mm)</t>
    </r>
  </si>
  <si>
    <r>
      <rPr>
        <sz val="12"/>
        <rFont val="Yu Gothic UI"/>
        <family val="2"/>
        <charset val="128"/>
      </rPr>
      <t>无需LTW后</t>
    </r>
    <r>
      <rPr>
        <sz val="12"/>
        <rFont val="宋体"/>
        <family val="3"/>
        <charset val="134"/>
      </rPr>
      <t>对</t>
    </r>
    <r>
      <rPr>
        <sz val="12"/>
        <rFont val="Yu Gothic UI"/>
        <family val="2"/>
        <charset val="128"/>
      </rPr>
      <t>重的KTVS</t>
    </r>
    <r>
      <rPr>
        <sz val="12"/>
        <rFont val="宋体"/>
        <family val="3"/>
        <charset val="134"/>
      </rPr>
      <t>计</t>
    </r>
    <r>
      <rPr>
        <sz val="12"/>
        <rFont val="Yu Gothic UI"/>
        <family val="2"/>
        <charset val="128"/>
      </rPr>
      <t>算公式; 汽</t>
    </r>
    <r>
      <rPr>
        <sz val="12"/>
        <rFont val="宋体"/>
        <family val="3"/>
        <charset val="134"/>
      </rPr>
      <t>车</t>
    </r>
    <r>
      <rPr>
        <sz val="12"/>
        <rFont val="Yu Gothic UI"/>
        <family val="2"/>
        <charset val="128"/>
      </rPr>
      <t>梯公式待</t>
    </r>
    <r>
      <rPr>
        <sz val="12"/>
        <rFont val="宋体"/>
        <family val="3"/>
        <charset val="134"/>
      </rPr>
      <t>确认</t>
    </r>
  </si>
  <si>
    <r>
      <rPr>
        <sz val="12"/>
        <rFont val="Yu Gothic UI"/>
        <family val="2"/>
        <charset val="128"/>
      </rPr>
      <t>KTV偏差</t>
    </r>
    <r>
      <rPr>
        <sz val="12"/>
        <rFont val="微软雅黑"/>
        <family val="2"/>
        <charset val="134"/>
      </rPr>
      <t>值</t>
    </r>
    <r>
      <rPr>
        <sz val="12"/>
        <rFont val="Yu Gothic UI"/>
        <family val="2"/>
        <charset val="128"/>
      </rPr>
      <t xml:space="preserve"> KTVM(mm)</t>
    </r>
  </si>
  <si>
    <r>
      <rPr>
        <sz val="12"/>
        <rFont val="微软雅黑"/>
        <family val="2"/>
        <charset val="134"/>
      </rPr>
      <t>轿厢</t>
    </r>
    <r>
      <rPr>
        <sz val="12"/>
        <rFont val="Yu Gothic UI"/>
        <family val="2"/>
        <charset val="128"/>
      </rPr>
      <t>前壁至</t>
    </r>
    <r>
      <rPr>
        <sz val="12"/>
        <rFont val="微软雅黑"/>
        <family val="2"/>
        <charset val="134"/>
      </rPr>
      <t>轿厢</t>
    </r>
    <r>
      <rPr>
        <sz val="12"/>
        <rFont val="Yu Gothic UI"/>
        <family val="2"/>
        <charset val="128"/>
      </rPr>
      <t>中心距</t>
    </r>
    <r>
      <rPr>
        <sz val="12"/>
        <rFont val="微软雅黑"/>
        <family val="2"/>
        <charset val="134"/>
      </rPr>
      <t>离</t>
    </r>
    <r>
      <rPr>
        <sz val="12"/>
        <rFont val="Yu Gothic UI"/>
        <family val="2"/>
        <charset val="128"/>
      </rPr>
      <t xml:space="preserve"> KTV(mm)</t>
    </r>
  </si>
  <si>
    <r>
      <rPr>
        <sz val="12"/>
        <color theme="0" tint="-0.499984740745262"/>
        <rFont val="Yu Gothic UI"/>
        <family val="2"/>
        <charset val="128"/>
      </rPr>
      <t>待核</t>
    </r>
    <r>
      <rPr>
        <sz val="12"/>
        <color theme="0" tint="-0.499984740745262"/>
        <rFont val="宋体"/>
        <family val="3"/>
        <charset val="134"/>
      </rPr>
      <t>对</t>
    </r>
    <r>
      <rPr>
        <sz val="12"/>
        <color theme="0" tint="-0.499984740745262"/>
        <rFont val="Yu Gothic UI"/>
        <family val="2"/>
        <charset val="128"/>
      </rPr>
      <t>LTK旁</t>
    </r>
    <r>
      <rPr>
        <sz val="12"/>
        <color theme="0" tint="-0.499984740745262"/>
        <rFont val="宋体"/>
        <family val="3"/>
        <charset val="134"/>
      </rPr>
      <t>开门时</t>
    </r>
    <r>
      <rPr>
        <sz val="12"/>
        <color theme="0" tint="-0.499984740745262"/>
        <rFont val="Yu Gothic UI"/>
        <family val="2"/>
        <charset val="128"/>
      </rPr>
      <t>的</t>
    </r>
    <r>
      <rPr>
        <sz val="12"/>
        <color theme="0" tint="-0.499984740745262"/>
        <rFont val="宋体"/>
        <family val="3"/>
        <charset val="134"/>
      </rPr>
      <t>计</t>
    </r>
    <r>
      <rPr>
        <sz val="12"/>
        <color theme="0" tint="-0.499984740745262"/>
        <rFont val="Yu Gothic UI"/>
        <family val="2"/>
        <charset val="128"/>
      </rPr>
      <t>算公式</t>
    </r>
  </si>
  <si>
    <t>前端点：</t>
  </si>
  <si>
    <t>后端点：</t>
  </si>
  <si>
    <r>
      <rPr>
        <sz val="12"/>
        <rFont val="Yu Gothic UI"/>
        <family val="2"/>
        <charset val="128"/>
      </rPr>
      <t xml:space="preserve">4.2 </t>
    </r>
    <r>
      <rPr>
        <sz val="12"/>
        <rFont val="TKTypeRegular"/>
        <family val="1"/>
      </rPr>
      <t>对</t>
    </r>
    <r>
      <rPr>
        <sz val="12"/>
        <rFont val="Yu Gothic UI"/>
        <family val="2"/>
        <charset val="128"/>
      </rPr>
      <t>重</t>
    </r>
    <r>
      <rPr>
        <sz val="12"/>
        <rFont val="TKTypeRegular"/>
        <family val="1"/>
      </rPr>
      <t>纵</t>
    </r>
    <r>
      <rPr>
        <sz val="12"/>
        <rFont val="Yu Gothic UI"/>
        <family val="2"/>
        <charset val="128"/>
      </rPr>
      <t>跨</t>
    </r>
    <r>
      <rPr>
        <sz val="12"/>
        <rFont val="TKTypeRegular"/>
        <family val="1"/>
      </rPr>
      <t>线</t>
    </r>
    <r>
      <rPr>
        <sz val="12"/>
        <rFont val="Yu Gothic UI"/>
        <family val="2"/>
        <charset val="128"/>
      </rPr>
      <t>（</t>
    </r>
    <r>
      <rPr>
        <sz val="12"/>
        <rFont val="TKTypeRegular"/>
        <family val="1"/>
      </rPr>
      <t>仅对</t>
    </r>
    <r>
      <rPr>
        <sz val="12"/>
        <rFont val="Yu Gothic UI"/>
        <family val="2"/>
        <charset val="128"/>
      </rPr>
      <t>重SIDE</t>
    </r>
    <r>
      <rPr>
        <sz val="12"/>
        <rFont val="TKTypeRegular"/>
        <family val="1"/>
      </rPr>
      <t>时计</t>
    </r>
    <r>
      <rPr>
        <sz val="12"/>
        <rFont val="Yu Gothic UI"/>
        <family val="2"/>
        <charset val="128"/>
      </rPr>
      <t>算）</t>
    </r>
  </si>
  <si>
    <r>
      <rPr>
        <sz val="12"/>
        <rFont val="微软雅黑"/>
        <family val="2"/>
        <charset val="134"/>
      </rPr>
      <t>对</t>
    </r>
    <r>
      <rPr>
        <sz val="12"/>
        <rFont val="Yu Gothic UI"/>
        <family val="2"/>
        <charset val="128"/>
      </rPr>
      <t>重</t>
    </r>
    <r>
      <rPr>
        <sz val="12"/>
        <rFont val="微软雅黑"/>
        <family val="2"/>
        <charset val="134"/>
      </rPr>
      <t>导轨</t>
    </r>
    <r>
      <rPr>
        <sz val="12"/>
        <rFont val="Yu Gothic UI"/>
        <family val="2"/>
        <charset val="128"/>
      </rPr>
      <t>及</t>
    </r>
    <r>
      <rPr>
        <sz val="12"/>
        <rFont val="微软雅黑"/>
        <family val="2"/>
        <charset val="134"/>
      </rPr>
      <t>撑</t>
    </r>
    <r>
      <rPr>
        <sz val="12"/>
        <rFont val="Yu Gothic UI"/>
        <family val="2"/>
        <charset val="128"/>
      </rPr>
      <t>架</t>
    </r>
    <r>
      <rPr>
        <sz val="12"/>
        <rFont val="微软雅黑"/>
        <family val="2"/>
        <charset val="134"/>
      </rPr>
      <t>宽</t>
    </r>
    <r>
      <rPr>
        <sz val="12"/>
        <rFont val="Yu Gothic UI"/>
        <family val="2"/>
        <charset val="128"/>
      </rPr>
      <t>度 CWGB</t>
    </r>
    <r>
      <rPr>
        <vertAlign val="subscript"/>
        <sz val="12"/>
        <rFont val="Yu Gothic UI"/>
        <family val="2"/>
        <charset val="128"/>
      </rPr>
      <t>2</t>
    </r>
    <r>
      <rPr>
        <sz val="12"/>
        <rFont val="Yu Gothic UI"/>
        <family val="2"/>
        <charset val="128"/>
      </rPr>
      <t>(mm)</t>
    </r>
  </si>
  <si>
    <t>CWGB2P:</t>
  </si>
  <si>
    <r>
      <rPr>
        <sz val="12"/>
        <rFont val="Yu Gothic UI"/>
        <family val="2"/>
        <charset val="128"/>
      </rPr>
      <t>4.3 主机机架</t>
    </r>
    <r>
      <rPr>
        <sz val="12"/>
        <rFont val="微软雅黑"/>
        <family val="2"/>
        <charset val="134"/>
      </rPr>
      <t>纵</t>
    </r>
    <r>
      <rPr>
        <sz val="12"/>
        <rFont val="Yu Gothic UI"/>
        <family val="2"/>
        <charset val="128"/>
      </rPr>
      <t>跨</t>
    </r>
    <r>
      <rPr>
        <sz val="12"/>
        <rFont val="微软雅黑"/>
        <family val="2"/>
        <charset val="134"/>
      </rPr>
      <t>线</t>
    </r>
    <r>
      <rPr>
        <sz val="12"/>
        <rFont val="Yu Gothic UI"/>
        <family val="2"/>
        <charset val="128"/>
      </rPr>
      <t>（</t>
    </r>
    <r>
      <rPr>
        <sz val="12"/>
        <rFont val="微软雅黑"/>
        <family val="2"/>
        <charset val="134"/>
      </rPr>
      <t>仅</t>
    </r>
    <r>
      <rPr>
        <sz val="12"/>
        <rFont val="Yu Gothic UI"/>
        <family val="2"/>
        <charset val="128"/>
      </rPr>
      <t>无机房</t>
    </r>
    <r>
      <rPr>
        <sz val="12"/>
        <rFont val="微软雅黑"/>
        <family val="2"/>
        <charset val="134"/>
      </rPr>
      <t>时计</t>
    </r>
    <r>
      <rPr>
        <sz val="12"/>
        <rFont val="Yu Gothic UI"/>
        <family val="2"/>
        <charset val="128"/>
      </rPr>
      <t>算）</t>
    </r>
  </si>
  <si>
    <r>
      <rPr>
        <sz val="12"/>
        <rFont val="微软雅黑"/>
        <family val="2"/>
        <charset val="134"/>
      </rPr>
      <t>轿厢</t>
    </r>
    <r>
      <rPr>
        <sz val="12"/>
        <rFont val="Yu Gothic UI"/>
        <family val="2"/>
        <charset val="128"/>
      </rPr>
      <t>中心至机架</t>
    </r>
    <r>
      <rPr>
        <sz val="12"/>
        <rFont val="微软雅黑"/>
        <family val="2"/>
        <charset val="134"/>
      </rPr>
      <t>边缘</t>
    </r>
    <r>
      <rPr>
        <sz val="12"/>
        <rFont val="Yu Gothic UI"/>
        <family val="2"/>
        <charset val="128"/>
      </rPr>
      <t>距</t>
    </r>
    <r>
      <rPr>
        <sz val="12"/>
        <rFont val="微软雅黑"/>
        <family val="2"/>
        <charset val="134"/>
      </rPr>
      <t>离</t>
    </r>
    <r>
      <rPr>
        <sz val="12"/>
        <rFont val="Yu Gothic UI"/>
        <family val="2"/>
        <charset val="128"/>
      </rPr>
      <t>（大</t>
    </r>
    <r>
      <rPr>
        <sz val="12"/>
        <rFont val="微软雅黑"/>
        <family val="2"/>
        <charset val="134"/>
      </rPr>
      <t>侧</t>
    </r>
    <r>
      <rPr>
        <sz val="12"/>
        <rFont val="Yu Gothic UI"/>
        <family val="2"/>
        <charset val="128"/>
      </rPr>
      <t>） MRD(mm)</t>
    </r>
  </si>
  <si>
    <r>
      <rPr>
        <sz val="12"/>
        <rFont val="Yu Gothic UI"/>
        <family val="2"/>
        <charset val="128"/>
      </rPr>
      <t>主机大</t>
    </r>
    <r>
      <rPr>
        <sz val="12"/>
        <rFont val="微软雅黑"/>
        <family val="2"/>
        <charset val="134"/>
      </rPr>
      <t>侧</t>
    </r>
    <r>
      <rPr>
        <sz val="12"/>
        <rFont val="Yu Gothic UI"/>
        <family val="2"/>
        <charset val="128"/>
      </rPr>
      <t>位置 ML：TRUE</t>
    </r>
    <r>
      <rPr>
        <sz val="12"/>
        <rFont val="TKTypeRegular"/>
        <family val="1"/>
      </rPr>
      <t>为</t>
    </r>
    <r>
      <rPr>
        <sz val="12"/>
        <rFont val="Yu Gothic UI"/>
        <family val="2"/>
        <charset val="128"/>
      </rPr>
      <t>靠前放置</t>
    </r>
  </si>
  <si>
    <r>
      <rPr>
        <sz val="12"/>
        <rFont val="Yu Gothic UI"/>
        <family val="2"/>
        <charset val="128"/>
      </rPr>
      <t>EVIN的主机位置</t>
    </r>
    <r>
      <rPr>
        <sz val="12"/>
        <rFont val="宋体"/>
        <family val="3"/>
        <charset val="134"/>
      </rPr>
      <t>为</t>
    </r>
    <r>
      <rPr>
        <sz val="12"/>
        <rFont val="Yu Gothic UI"/>
        <family val="2"/>
        <charset val="128"/>
      </rPr>
      <t>靠前放置</t>
    </r>
  </si>
  <si>
    <r>
      <rPr>
        <sz val="12"/>
        <rFont val="Yu Gothic UI"/>
        <family val="2"/>
        <charset val="128"/>
      </rPr>
      <t>4.4 井道深度</t>
    </r>
    <r>
      <rPr>
        <sz val="12"/>
        <rFont val="微软雅黑"/>
        <family val="2"/>
        <charset val="134"/>
      </rPr>
      <t>计</t>
    </r>
    <r>
      <rPr>
        <sz val="12"/>
        <rFont val="Yu Gothic UI"/>
        <family val="2"/>
        <charset val="128"/>
      </rPr>
      <t>算</t>
    </r>
  </si>
  <si>
    <r>
      <rPr>
        <sz val="12"/>
        <rFont val="Yu Gothic UI"/>
        <family val="2"/>
        <charset val="128"/>
      </rPr>
      <t xml:space="preserve"> Y</t>
    </r>
    <r>
      <rPr>
        <vertAlign val="subscript"/>
        <sz val="12"/>
        <rFont val="Yu Gothic UI"/>
        <family val="2"/>
        <charset val="128"/>
      </rPr>
      <t xml:space="preserve">F </t>
    </r>
    <r>
      <rPr>
        <sz val="12"/>
        <rFont val="Yu Gothic UI"/>
        <family val="2"/>
        <charset val="128"/>
      </rPr>
      <t>= MIN(Y1</t>
    </r>
    <r>
      <rPr>
        <vertAlign val="subscript"/>
        <sz val="12"/>
        <rFont val="Yu Gothic UI"/>
        <family val="2"/>
        <charset val="128"/>
      </rPr>
      <t>F</t>
    </r>
    <r>
      <rPr>
        <sz val="12"/>
        <rFont val="Yu Gothic UI"/>
        <family val="2"/>
        <charset val="128"/>
      </rPr>
      <t>, Y2</t>
    </r>
    <r>
      <rPr>
        <vertAlign val="subscript"/>
        <sz val="12"/>
        <rFont val="Yu Gothic UI"/>
        <family val="2"/>
        <charset val="128"/>
      </rPr>
      <t>F</t>
    </r>
    <r>
      <rPr>
        <sz val="12"/>
        <rFont val="Yu Gothic UI"/>
        <family val="2"/>
        <charset val="128"/>
      </rPr>
      <t>, Y3</t>
    </r>
    <r>
      <rPr>
        <vertAlign val="subscript"/>
        <sz val="12"/>
        <rFont val="Yu Gothic UI"/>
        <family val="2"/>
        <charset val="128"/>
      </rPr>
      <t>F</t>
    </r>
    <r>
      <rPr>
        <sz val="12"/>
        <rFont val="Yu Gothic UI"/>
        <family val="2"/>
        <charset val="128"/>
      </rPr>
      <t xml:space="preserve">) </t>
    </r>
  </si>
  <si>
    <r>
      <rPr>
        <sz val="12"/>
        <rFont val="Yu Gothic UI"/>
        <family val="2"/>
        <charset val="128"/>
      </rPr>
      <t xml:space="preserve"> Y</t>
    </r>
    <r>
      <rPr>
        <vertAlign val="subscript"/>
        <sz val="12"/>
        <rFont val="Yu Gothic UI"/>
        <family val="2"/>
        <charset val="128"/>
      </rPr>
      <t xml:space="preserve">B </t>
    </r>
    <r>
      <rPr>
        <sz val="12"/>
        <rFont val="Yu Gothic UI"/>
        <family val="2"/>
        <charset val="128"/>
      </rPr>
      <t>= MAX(Y1</t>
    </r>
    <r>
      <rPr>
        <vertAlign val="subscript"/>
        <sz val="12"/>
        <rFont val="Yu Gothic UI"/>
        <family val="2"/>
        <charset val="128"/>
      </rPr>
      <t>B</t>
    </r>
    <r>
      <rPr>
        <sz val="12"/>
        <rFont val="Yu Gothic UI"/>
        <family val="2"/>
        <charset val="128"/>
      </rPr>
      <t>, Y2</t>
    </r>
    <r>
      <rPr>
        <vertAlign val="subscript"/>
        <sz val="12"/>
        <rFont val="Yu Gothic UI"/>
        <family val="2"/>
        <charset val="128"/>
      </rPr>
      <t>B</t>
    </r>
    <r>
      <rPr>
        <sz val="12"/>
        <rFont val="Yu Gothic UI"/>
        <family val="2"/>
        <charset val="128"/>
      </rPr>
      <t>, Y3</t>
    </r>
    <r>
      <rPr>
        <vertAlign val="subscript"/>
        <sz val="12"/>
        <rFont val="Yu Gothic UI"/>
        <family val="2"/>
        <charset val="128"/>
      </rPr>
      <t>B</t>
    </r>
    <r>
      <rPr>
        <sz val="12"/>
        <rFont val="Yu Gothic UI"/>
        <family val="2"/>
        <charset val="128"/>
      </rPr>
      <t xml:space="preserve">) </t>
    </r>
  </si>
  <si>
    <r>
      <rPr>
        <sz val="12"/>
        <rFont val="Yu Gothic UI"/>
        <family val="2"/>
        <charset val="128"/>
      </rPr>
      <t>井道深度 SD</t>
    </r>
    <r>
      <rPr>
        <vertAlign val="subscript"/>
        <sz val="12"/>
        <rFont val="Yu Gothic UI"/>
        <family val="2"/>
        <charset val="128"/>
      </rPr>
      <t>t</t>
    </r>
    <r>
      <rPr>
        <sz val="12"/>
        <rFont val="Yu Gothic UI"/>
        <family val="2"/>
        <charset val="128"/>
      </rPr>
      <t>(mm)</t>
    </r>
  </si>
  <si>
    <r>
      <rPr>
        <sz val="12"/>
        <rFont val="Yu Gothic UI"/>
        <family val="2"/>
        <charset val="128"/>
      </rPr>
      <t xml:space="preserve"> SD</t>
    </r>
    <r>
      <rPr>
        <vertAlign val="subscript"/>
        <sz val="12"/>
        <rFont val="Yu Gothic UI"/>
        <family val="2"/>
        <charset val="128"/>
      </rPr>
      <t>c</t>
    </r>
    <r>
      <rPr>
        <sz val="12"/>
        <rFont val="Yu Gothic UI"/>
        <family val="2"/>
        <charset val="128"/>
      </rPr>
      <t xml:space="preserve"> = Y</t>
    </r>
    <r>
      <rPr>
        <vertAlign val="subscript"/>
        <sz val="12"/>
        <rFont val="Yu Gothic UI"/>
        <family val="2"/>
        <charset val="128"/>
      </rPr>
      <t>B</t>
    </r>
    <r>
      <rPr>
        <sz val="12"/>
        <rFont val="Yu Gothic UI"/>
        <family val="2"/>
        <charset val="128"/>
      </rPr>
      <t>-Y</t>
    </r>
    <r>
      <rPr>
        <vertAlign val="subscript"/>
        <sz val="12"/>
        <rFont val="Yu Gothic UI"/>
        <family val="2"/>
        <charset val="128"/>
      </rPr>
      <t xml:space="preserve">F </t>
    </r>
  </si>
  <si>
    <t>5 尺寸校核</t>
  </si>
  <si>
    <r>
      <rPr>
        <sz val="12"/>
        <rFont val="Yu Gothic UI"/>
        <family val="2"/>
        <charset val="128"/>
      </rPr>
      <t>5.1 判断</t>
    </r>
    <r>
      <rPr>
        <sz val="12"/>
        <rFont val="微软雅黑"/>
        <family val="2"/>
        <charset val="134"/>
      </rPr>
      <t>轿门</t>
    </r>
    <r>
      <rPr>
        <sz val="12"/>
        <rFont val="Yu Gothic UI"/>
        <family val="2"/>
        <charset val="128"/>
      </rPr>
      <t>是否能放置于</t>
    </r>
    <r>
      <rPr>
        <sz val="12"/>
        <rFont val="微软雅黑"/>
        <family val="2"/>
        <charset val="134"/>
      </rPr>
      <t>轿厢</t>
    </r>
    <r>
      <rPr>
        <sz val="12"/>
        <rFont val="Yu Gothic UI"/>
        <family val="2"/>
        <charset val="128"/>
      </rPr>
      <t>（</t>
    </r>
    <r>
      <rPr>
        <sz val="12"/>
        <rFont val="微软雅黑"/>
        <family val="2"/>
        <charset val="134"/>
      </rPr>
      <t>宽</t>
    </r>
    <r>
      <rPr>
        <sz val="12"/>
        <rFont val="Yu Gothic UI"/>
        <family val="2"/>
        <charset val="128"/>
      </rPr>
      <t>度方向）？</t>
    </r>
  </si>
  <si>
    <t>偏心量 | De | =</t>
  </si>
  <si>
    <t xml:space="preserve"> = (CW-DW)/2</t>
  </si>
  <si>
    <r>
      <rPr>
        <sz val="12"/>
        <rFont val="Yu Gothic UI"/>
        <family val="2"/>
        <charset val="128"/>
      </rPr>
      <t>可以</t>
    </r>
    <r>
      <rPr>
        <sz val="12"/>
        <rFont val="微软雅黑"/>
        <family val="2"/>
        <charset val="134"/>
      </rPr>
      <t>满</t>
    </r>
    <r>
      <rPr>
        <sz val="12"/>
        <rFont val="Yu Gothic UI"/>
        <family val="2"/>
        <charset val="128"/>
      </rPr>
      <t>足的最大</t>
    </r>
    <r>
      <rPr>
        <sz val="12"/>
        <rFont val="微软雅黑"/>
        <family val="2"/>
        <charset val="134"/>
      </rPr>
      <t>门宽</t>
    </r>
    <r>
      <rPr>
        <sz val="12"/>
        <rFont val="Yu Gothic UI"/>
        <family val="2"/>
        <charset val="128"/>
      </rPr>
      <t xml:space="preserve">                  DW</t>
    </r>
    <r>
      <rPr>
        <vertAlign val="subscript"/>
        <sz val="12"/>
        <rFont val="Yu Gothic UI"/>
        <family val="2"/>
        <charset val="128"/>
      </rPr>
      <t>max</t>
    </r>
    <r>
      <rPr>
        <sz val="12"/>
        <rFont val="Yu Gothic UI"/>
        <family val="2"/>
        <charset val="128"/>
      </rPr>
      <t xml:space="preserve"> =</t>
    </r>
  </si>
  <si>
    <r>
      <rPr>
        <sz val="12"/>
        <rFont val="TKTypeRegular"/>
        <family val="1"/>
      </rPr>
      <t>≤</t>
    </r>
  </si>
  <si>
    <r>
      <rPr>
        <sz val="12"/>
        <rFont val="微软雅黑"/>
        <family val="2"/>
        <charset val="134"/>
      </rPr>
      <t>轿厢宽</t>
    </r>
    <r>
      <rPr>
        <sz val="12"/>
        <rFont val="Yu Gothic UI"/>
        <family val="2"/>
        <charset val="128"/>
      </rPr>
      <t>CW</t>
    </r>
  </si>
  <si>
    <r>
      <rPr>
        <sz val="12"/>
        <rFont val="Yu Gothic UI"/>
        <family val="2"/>
        <charset val="128"/>
      </rPr>
      <t>5.2 判断</t>
    </r>
    <r>
      <rPr>
        <sz val="12"/>
        <rFont val="微软雅黑"/>
        <family val="2"/>
        <charset val="134"/>
      </rPr>
      <t>对</t>
    </r>
    <r>
      <rPr>
        <sz val="12"/>
        <rFont val="Yu Gothic UI"/>
        <family val="2"/>
        <charset val="128"/>
      </rPr>
      <t>重框架是否与</t>
    </r>
    <r>
      <rPr>
        <sz val="12"/>
        <rFont val="微软雅黑"/>
        <family val="2"/>
        <charset val="134"/>
      </rPr>
      <t>门</t>
    </r>
    <r>
      <rPr>
        <sz val="12"/>
        <rFont val="Yu Gothic UI"/>
        <family val="2"/>
        <charset val="128"/>
      </rPr>
      <t>机干</t>
    </r>
    <r>
      <rPr>
        <sz val="12"/>
        <rFont val="微软雅黑"/>
        <family val="2"/>
        <charset val="134"/>
      </rPr>
      <t>涉</t>
    </r>
    <r>
      <rPr>
        <sz val="12"/>
        <rFont val="Yu Gothic UI"/>
        <family val="2"/>
        <charset val="128"/>
      </rPr>
      <t>？</t>
    </r>
  </si>
  <si>
    <r>
      <rPr>
        <sz val="12"/>
        <color theme="1" tint="4.9989318521683403E-2"/>
        <rFont val="Yu Gothic UI"/>
        <family val="2"/>
        <charset val="128"/>
      </rPr>
      <t>注：按照</t>
    </r>
    <r>
      <rPr>
        <sz val="12"/>
        <color theme="1" tint="4.9989318521683403E-2"/>
        <rFont val="微软雅黑"/>
        <family val="2"/>
        <charset val="134"/>
      </rPr>
      <t>对</t>
    </r>
    <r>
      <rPr>
        <sz val="12"/>
        <color theme="1" tint="4.9989318521683403E-2"/>
        <rFont val="Yu Gothic UI"/>
        <family val="2"/>
        <charset val="128"/>
      </rPr>
      <t>重框架与</t>
    </r>
    <r>
      <rPr>
        <sz val="12"/>
        <color theme="1" tint="4.9989318521683403E-2"/>
        <rFont val="微软雅黑"/>
        <family val="2"/>
        <charset val="134"/>
      </rPr>
      <t>门头间</t>
    </r>
    <r>
      <rPr>
        <sz val="12"/>
        <color theme="1" tint="4.9989318521683403E-2"/>
        <rFont val="Yu Gothic UI"/>
        <family val="2"/>
        <charset val="128"/>
      </rPr>
      <t>隙</t>
    </r>
    <r>
      <rPr>
        <sz val="12"/>
        <color theme="1" tint="4.9989318521683403E-2"/>
        <rFont val="微软雅黑"/>
        <family val="2"/>
        <charset val="134"/>
      </rPr>
      <t>为</t>
    </r>
    <r>
      <rPr>
        <sz val="12"/>
        <color theme="1" tint="4.9989318521683403E-2"/>
        <rFont val="Yu Gothic UI"/>
        <family val="2"/>
        <charset val="128"/>
      </rPr>
      <t>25来考</t>
    </r>
    <r>
      <rPr>
        <sz val="12"/>
        <color theme="1" tint="4.9989318521683403E-2"/>
        <rFont val="微软雅黑"/>
        <family val="2"/>
        <charset val="134"/>
      </rPr>
      <t>虑</t>
    </r>
  </si>
  <si>
    <r>
      <rPr>
        <sz val="12"/>
        <rFont val="Yu Gothic UI"/>
        <family val="2"/>
        <charset val="128"/>
      </rPr>
      <t>井道前壁的</t>
    </r>
    <r>
      <rPr>
        <sz val="12"/>
        <rFont val="微软雅黑"/>
        <family val="2"/>
        <charset val="134"/>
      </rPr>
      <t>门</t>
    </r>
    <r>
      <rPr>
        <sz val="12"/>
        <rFont val="Yu Gothic UI"/>
        <family val="2"/>
        <charset val="128"/>
      </rPr>
      <t>： Y2</t>
    </r>
    <r>
      <rPr>
        <vertAlign val="subscript"/>
        <sz val="12"/>
        <rFont val="Yu Gothic UI"/>
        <family val="2"/>
        <charset val="128"/>
      </rPr>
      <t>F</t>
    </r>
    <r>
      <rPr>
        <sz val="12"/>
        <rFont val="Yu Gothic UI"/>
        <family val="2"/>
        <charset val="128"/>
      </rPr>
      <t>' = Y2</t>
    </r>
    <r>
      <rPr>
        <vertAlign val="subscript"/>
        <sz val="12"/>
        <rFont val="Yu Gothic UI"/>
        <family val="2"/>
        <charset val="128"/>
      </rPr>
      <t>F</t>
    </r>
    <r>
      <rPr>
        <sz val="12"/>
        <rFont val="Yu Gothic UI"/>
        <family val="2"/>
        <charset val="128"/>
      </rPr>
      <t xml:space="preserve"> +ST-25 =</t>
    </r>
  </si>
  <si>
    <t xml:space="preserve"> = -KTV-DD</t>
  </si>
  <si>
    <r>
      <rPr>
        <sz val="12"/>
        <rFont val="Yu Gothic UI"/>
        <family val="2"/>
        <charset val="128"/>
      </rPr>
      <t>后壁的</t>
    </r>
    <r>
      <rPr>
        <sz val="12"/>
        <rFont val="微软雅黑"/>
        <family val="2"/>
        <charset val="134"/>
      </rPr>
      <t>贯</t>
    </r>
    <r>
      <rPr>
        <sz val="12"/>
        <rFont val="Yu Gothic UI"/>
        <family val="2"/>
        <charset val="128"/>
      </rPr>
      <t>通</t>
    </r>
    <r>
      <rPr>
        <sz val="12"/>
        <rFont val="微软雅黑"/>
        <family val="2"/>
        <charset val="134"/>
      </rPr>
      <t>门</t>
    </r>
    <r>
      <rPr>
        <sz val="12"/>
        <rFont val="Yu Gothic UI"/>
        <family val="2"/>
        <charset val="128"/>
      </rPr>
      <t>： Y2</t>
    </r>
    <r>
      <rPr>
        <vertAlign val="subscript"/>
        <sz val="12"/>
        <rFont val="Yu Gothic UI"/>
        <family val="2"/>
        <charset val="128"/>
      </rPr>
      <t>B</t>
    </r>
    <r>
      <rPr>
        <sz val="12"/>
        <rFont val="Yu Gothic UI"/>
        <family val="2"/>
        <charset val="128"/>
      </rPr>
      <t>' = Y2</t>
    </r>
    <r>
      <rPr>
        <vertAlign val="subscript"/>
        <sz val="12"/>
        <rFont val="Yu Gothic UI"/>
        <family val="2"/>
        <charset val="128"/>
      </rPr>
      <t>B</t>
    </r>
    <r>
      <rPr>
        <sz val="12"/>
        <rFont val="Yu Gothic UI"/>
        <family val="2"/>
        <charset val="128"/>
      </rPr>
      <t xml:space="preserve"> -ST+25 =</t>
    </r>
  </si>
  <si>
    <t xml:space="preserve"> = CD-KTV+DD</t>
  </si>
  <si>
    <r>
      <rPr>
        <sz val="12"/>
        <rFont val="Yu Gothic UI"/>
        <family val="2"/>
        <charset val="128"/>
      </rPr>
      <t xml:space="preserve">  若</t>
    </r>
    <r>
      <rPr>
        <sz val="12"/>
        <rFont val="微软雅黑"/>
        <family val="2"/>
        <charset val="134"/>
      </rPr>
      <t>对</t>
    </r>
    <r>
      <rPr>
        <sz val="12"/>
        <rFont val="Yu Gothic UI"/>
        <family val="2"/>
        <charset val="128"/>
      </rPr>
      <t>重框架与</t>
    </r>
    <r>
      <rPr>
        <sz val="12"/>
        <rFont val="微软雅黑"/>
        <family val="2"/>
        <charset val="134"/>
      </rPr>
      <t>门</t>
    </r>
    <r>
      <rPr>
        <sz val="12"/>
        <rFont val="Yu Gothic UI"/>
        <family val="2"/>
        <charset val="128"/>
      </rPr>
      <t>机干</t>
    </r>
    <r>
      <rPr>
        <sz val="12"/>
        <rFont val="微软雅黑"/>
        <family val="2"/>
        <charset val="134"/>
      </rPr>
      <t>涉</t>
    </r>
    <r>
      <rPr>
        <sz val="12"/>
        <rFont val="Yu Gothic UI"/>
        <family val="2"/>
        <charset val="128"/>
      </rPr>
      <t>，</t>
    </r>
    <r>
      <rPr>
        <sz val="12"/>
        <rFont val="微软雅黑"/>
        <family val="2"/>
        <charset val="134"/>
      </rPr>
      <t>调</t>
    </r>
    <r>
      <rPr>
        <sz val="12"/>
        <rFont val="Yu Gothic UI"/>
        <family val="2"/>
        <charset val="128"/>
      </rPr>
      <t>整KTV也无效</t>
    </r>
    <r>
      <rPr>
        <sz val="12"/>
        <rFont val="微软雅黑"/>
        <family val="2"/>
        <charset val="134"/>
      </rPr>
      <t>时</t>
    </r>
    <r>
      <rPr>
        <sz val="12"/>
        <rFont val="Yu Gothic UI"/>
        <family val="2"/>
        <charset val="128"/>
      </rPr>
      <t>，</t>
    </r>
    <r>
      <rPr>
        <sz val="12"/>
        <rFont val="微软雅黑"/>
        <family val="2"/>
        <charset val="134"/>
      </rPr>
      <t>计</t>
    </r>
    <r>
      <rPr>
        <sz val="12"/>
        <rFont val="Yu Gothic UI"/>
        <family val="2"/>
        <charset val="128"/>
      </rPr>
      <t>算出不干</t>
    </r>
    <r>
      <rPr>
        <sz val="12"/>
        <rFont val="微软雅黑"/>
        <family val="2"/>
        <charset val="134"/>
      </rPr>
      <t>涉</t>
    </r>
    <r>
      <rPr>
        <sz val="12"/>
        <rFont val="Yu Gothic UI"/>
        <family val="2"/>
        <charset val="128"/>
      </rPr>
      <t>所需的最小</t>
    </r>
    <r>
      <rPr>
        <sz val="12"/>
        <rFont val="微软雅黑"/>
        <family val="2"/>
        <charset val="134"/>
      </rPr>
      <t>轿厢</t>
    </r>
    <r>
      <rPr>
        <sz val="12"/>
        <rFont val="Yu Gothic UI"/>
        <family val="2"/>
        <charset val="128"/>
      </rPr>
      <t>深度</t>
    </r>
  </si>
  <si>
    <r>
      <rPr>
        <sz val="10"/>
        <rFont val="Yu Gothic UI"/>
        <family val="2"/>
        <charset val="128"/>
      </rPr>
      <t>CD</t>
    </r>
    <r>
      <rPr>
        <vertAlign val="subscript"/>
        <sz val="10"/>
        <rFont val="Yu Gothic UI"/>
        <family val="2"/>
        <charset val="128"/>
      </rPr>
      <t>min</t>
    </r>
    <r>
      <rPr>
        <sz val="10"/>
        <rFont val="Yu Gothic UI"/>
        <family val="2"/>
        <charset val="128"/>
      </rPr>
      <t xml:space="preserve"> = MAX[ 2*(干</t>
    </r>
    <r>
      <rPr>
        <sz val="10"/>
        <rFont val="微软雅黑"/>
        <family val="2"/>
        <charset val="134"/>
      </rPr>
      <t>涉时</t>
    </r>
    <r>
      <rPr>
        <sz val="10"/>
        <rFont val="Yu Gothic UI"/>
        <family val="2"/>
        <charset val="128"/>
      </rPr>
      <t>，-Y2</t>
    </r>
    <r>
      <rPr>
        <vertAlign val="subscript"/>
        <sz val="10"/>
        <rFont val="Yu Gothic UI"/>
        <family val="2"/>
        <charset val="128"/>
      </rPr>
      <t>F</t>
    </r>
    <r>
      <rPr>
        <sz val="10"/>
        <rFont val="Yu Gothic UI"/>
        <family val="2"/>
        <charset val="128"/>
      </rPr>
      <t>'-KTV-DD), IF(</t>
    </r>
    <r>
      <rPr>
        <sz val="10"/>
        <rFont val="微软雅黑"/>
        <family val="2"/>
        <charset val="134"/>
      </rPr>
      <t>贯</t>
    </r>
    <r>
      <rPr>
        <sz val="10"/>
        <rFont val="Yu Gothic UI"/>
        <family val="2"/>
        <charset val="128"/>
      </rPr>
      <t>通</t>
    </r>
    <r>
      <rPr>
        <sz val="10"/>
        <rFont val="微软雅黑"/>
        <family val="2"/>
        <charset val="134"/>
      </rPr>
      <t>门</t>
    </r>
    <r>
      <rPr>
        <sz val="10"/>
        <rFont val="Yu Gothic UI"/>
        <family val="2"/>
        <charset val="128"/>
      </rPr>
      <t>且干</t>
    </r>
    <r>
      <rPr>
        <sz val="10"/>
        <rFont val="微软雅黑"/>
        <family val="2"/>
        <charset val="134"/>
      </rPr>
      <t>涉</t>
    </r>
    <r>
      <rPr>
        <sz val="10"/>
        <rFont val="Yu Gothic UI"/>
        <family val="2"/>
        <charset val="128"/>
      </rPr>
      <t>,2*(Y2</t>
    </r>
    <r>
      <rPr>
        <vertAlign val="subscript"/>
        <sz val="10"/>
        <rFont val="Yu Gothic UI"/>
        <family val="2"/>
        <charset val="128"/>
      </rPr>
      <t>B</t>
    </r>
    <r>
      <rPr>
        <sz val="10"/>
        <rFont val="Yu Gothic UI"/>
        <family val="2"/>
        <charset val="128"/>
      </rPr>
      <t>'-CD+KTV-DD),0) ] +CD</t>
    </r>
  </si>
  <si>
    <t>WarnCDCWT</t>
  </si>
  <si>
    <r>
      <rPr>
        <sz val="12"/>
        <rFont val="Yu Gothic UI"/>
        <family val="2"/>
        <charset val="128"/>
      </rPr>
      <t>5.3 判断</t>
    </r>
    <r>
      <rPr>
        <sz val="12"/>
        <rFont val="微软雅黑"/>
        <family val="2"/>
        <charset val="134"/>
      </rPr>
      <t>轿厢</t>
    </r>
    <r>
      <rPr>
        <sz val="12"/>
        <rFont val="Yu Gothic UI"/>
        <family val="2"/>
        <charset val="128"/>
      </rPr>
      <t>尺寸是否合理</t>
    </r>
  </si>
  <si>
    <r>
      <rPr>
        <sz val="12"/>
        <rFont val="宋体"/>
        <family val="3"/>
        <charset val="134"/>
      </rPr>
      <t>轿厢</t>
    </r>
    <r>
      <rPr>
        <sz val="12"/>
        <rFont val="Yu Gothic UI"/>
        <family val="2"/>
        <charset val="128"/>
      </rPr>
      <t>高度-</t>
    </r>
    <r>
      <rPr>
        <sz val="12"/>
        <rFont val="宋体"/>
        <family val="3"/>
        <charset val="134"/>
      </rPr>
      <t>开门</t>
    </r>
    <r>
      <rPr>
        <sz val="12"/>
        <rFont val="Yu Gothic UI"/>
        <family val="2"/>
        <charset val="128"/>
      </rPr>
      <t>高度差</t>
    </r>
    <r>
      <rPr>
        <sz val="12"/>
        <rFont val="宋体"/>
        <family val="3"/>
        <charset val="134"/>
      </rPr>
      <t>值</t>
    </r>
    <r>
      <rPr>
        <sz val="12"/>
        <rFont val="Yu Gothic UI"/>
        <family val="2"/>
        <charset val="128"/>
      </rPr>
      <t>：CH-DH=</t>
    </r>
  </si>
  <si>
    <t>∈[100,300]</t>
  </si>
  <si>
    <r>
      <rPr>
        <sz val="12"/>
        <rFont val="Yu Gothic UI"/>
        <family val="2"/>
        <charset val="128"/>
      </rPr>
      <t>CW是否小于CW</t>
    </r>
    <r>
      <rPr>
        <vertAlign val="subscript"/>
        <sz val="12"/>
        <rFont val="Yu Gothic UI"/>
        <family val="2"/>
        <charset val="128"/>
      </rPr>
      <t>MIN</t>
    </r>
    <r>
      <rPr>
        <sz val="12"/>
        <rFont val="Yu Gothic UI"/>
        <family val="2"/>
        <charset val="128"/>
      </rPr>
      <t>，CW=</t>
    </r>
  </si>
  <si>
    <r>
      <rPr>
        <sz val="12"/>
        <rFont val="Yu Gothic UI"/>
        <family val="2"/>
        <charset val="128"/>
      </rPr>
      <t>CD是否小于CD</t>
    </r>
    <r>
      <rPr>
        <vertAlign val="subscript"/>
        <sz val="12"/>
        <rFont val="Yu Gothic UI"/>
        <family val="2"/>
        <charset val="128"/>
      </rPr>
      <t>MIN</t>
    </r>
    <r>
      <rPr>
        <sz val="12"/>
        <rFont val="Yu Gothic UI"/>
        <family val="2"/>
        <charset val="128"/>
      </rPr>
      <t>，CD=</t>
    </r>
  </si>
  <si>
    <r>
      <rPr>
        <sz val="12"/>
        <rFont val="Yu Gothic UI"/>
        <family val="2"/>
        <charset val="128"/>
      </rPr>
      <t>DH是否小于DH</t>
    </r>
    <r>
      <rPr>
        <vertAlign val="subscript"/>
        <sz val="12"/>
        <rFont val="Yu Gothic UI"/>
        <family val="2"/>
        <charset val="128"/>
      </rPr>
      <t>MIN</t>
    </r>
    <r>
      <rPr>
        <sz val="12"/>
        <rFont val="Yu Gothic UI"/>
        <family val="2"/>
        <charset val="128"/>
      </rPr>
      <t>，DH=</t>
    </r>
  </si>
  <si>
    <r>
      <rPr>
        <sz val="12"/>
        <rFont val="Yu Gothic UI"/>
        <family val="2"/>
        <charset val="128"/>
      </rPr>
      <t>5.4 最小</t>
    </r>
    <r>
      <rPr>
        <sz val="12"/>
        <rFont val="宋体"/>
        <family val="3"/>
        <charset val="134"/>
      </rPr>
      <t>层</t>
    </r>
    <r>
      <rPr>
        <sz val="12"/>
        <rFont val="Yu Gothic UI"/>
        <family val="2"/>
        <charset val="128"/>
      </rPr>
      <t>高提示示</t>
    </r>
  </si>
  <si>
    <r>
      <rPr>
        <sz val="12"/>
        <rFont val="Yu Gothic UI"/>
        <family val="2"/>
        <charset val="128"/>
      </rPr>
      <t>最小楼</t>
    </r>
    <r>
      <rPr>
        <sz val="12"/>
        <rFont val="宋体"/>
        <family val="3"/>
        <charset val="134"/>
      </rPr>
      <t>层</t>
    </r>
    <r>
      <rPr>
        <sz val="12"/>
        <rFont val="Yu Gothic UI"/>
        <family val="2"/>
        <charset val="128"/>
      </rPr>
      <t>高度：DH+500=</t>
    </r>
  </si>
  <si>
    <r>
      <rPr>
        <b/>
        <sz val="12"/>
        <rFont val="Yu Gothic UI"/>
        <family val="2"/>
        <charset val="128"/>
      </rPr>
      <t xml:space="preserve">6 </t>
    </r>
    <r>
      <rPr>
        <b/>
        <sz val="12"/>
        <rFont val="微软雅黑"/>
        <family val="2"/>
        <charset val="134"/>
      </rPr>
      <t>标</t>
    </r>
    <r>
      <rPr>
        <b/>
        <sz val="12"/>
        <rFont val="Yu Gothic UI"/>
        <family val="2"/>
        <charset val="128"/>
      </rPr>
      <t>准</t>
    </r>
    <r>
      <rPr>
        <b/>
        <sz val="12"/>
        <rFont val="微软雅黑"/>
        <family val="2"/>
        <charset val="134"/>
      </rPr>
      <t>轿厢</t>
    </r>
    <r>
      <rPr>
        <b/>
        <sz val="12"/>
        <rFont val="Yu Gothic UI"/>
        <family val="2"/>
        <charset val="128"/>
      </rPr>
      <t>判断</t>
    </r>
  </si>
  <si>
    <t>当前梯型序号</t>
  </si>
  <si>
    <r>
      <rPr>
        <sz val="12"/>
        <color theme="1"/>
        <rFont val="微软雅黑"/>
        <family val="2"/>
        <charset val="134"/>
      </rPr>
      <t>标</t>
    </r>
    <r>
      <rPr>
        <sz val="12"/>
        <color theme="1"/>
        <rFont val="Yu Gothic UI"/>
        <family val="2"/>
        <charset val="128"/>
      </rPr>
      <t xml:space="preserve">  准  配  置  </t>
    </r>
    <r>
      <rPr>
        <sz val="12"/>
        <color theme="1"/>
        <rFont val="微软雅黑"/>
        <family val="2"/>
        <charset val="134"/>
      </rPr>
      <t>值</t>
    </r>
  </si>
  <si>
    <r>
      <rPr>
        <sz val="12"/>
        <color theme="1"/>
        <rFont val="Yu Gothic UI"/>
        <family val="2"/>
        <charset val="128"/>
      </rPr>
      <t xml:space="preserve">当  前  </t>
    </r>
    <r>
      <rPr>
        <sz val="12"/>
        <color theme="1"/>
        <rFont val="微软雅黑"/>
        <family val="2"/>
        <charset val="134"/>
      </rPr>
      <t>计</t>
    </r>
    <r>
      <rPr>
        <sz val="12"/>
        <color theme="1"/>
        <rFont val="Yu Gothic UI"/>
        <family val="2"/>
        <charset val="128"/>
      </rPr>
      <t xml:space="preserve">  算  </t>
    </r>
    <r>
      <rPr>
        <sz val="12"/>
        <color theme="1"/>
        <rFont val="微软雅黑"/>
        <family val="2"/>
        <charset val="134"/>
      </rPr>
      <t>值</t>
    </r>
  </si>
  <si>
    <t>序号</t>
  </si>
  <si>
    <r>
      <rPr>
        <sz val="12"/>
        <color theme="1"/>
        <rFont val="微软雅黑"/>
        <family val="2"/>
        <charset val="134"/>
      </rPr>
      <t>运</t>
    </r>
    <r>
      <rPr>
        <sz val="12"/>
        <color theme="1"/>
        <rFont val="Yu Gothic UI"/>
        <family val="2"/>
        <charset val="128"/>
      </rPr>
      <t>行高度 TH</t>
    </r>
    <r>
      <rPr>
        <vertAlign val="subscript"/>
        <sz val="12"/>
        <color theme="1"/>
        <rFont val="Yu Gothic UI"/>
        <family val="2"/>
        <charset val="128"/>
      </rPr>
      <t>0</t>
    </r>
    <r>
      <rPr>
        <sz val="12"/>
        <color theme="1"/>
        <rFont val="Yu Gothic UI"/>
        <family val="2"/>
        <charset val="128"/>
      </rPr>
      <t>(m)</t>
    </r>
  </si>
  <si>
    <r>
      <rPr>
        <sz val="12"/>
        <color theme="1"/>
        <rFont val="微软雅黑"/>
        <family val="2"/>
        <charset val="134"/>
      </rPr>
      <t>运</t>
    </r>
    <r>
      <rPr>
        <sz val="12"/>
        <color theme="1"/>
        <rFont val="Yu Gothic UI"/>
        <family val="2"/>
        <charset val="128"/>
      </rPr>
      <t>行高度 TH(m)</t>
    </r>
  </si>
  <si>
    <r>
      <rPr>
        <sz val="12"/>
        <color theme="1"/>
        <rFont val="微软雅黑"/>
        <family val="2"/>
        <charset val="134"/>
      </rPr>
      <t>对</t>
    </r>
    <r>
      <rPr>
        <sz val="12"/>
        <color theme="1"/>
        <rFont val="Yu Gothic UI"/>
        <family val="2"/>
        <charset val="128"/>
      </rPr>
      <t>重位置</t>
    </r>
  </si>
  <si>
    <t>配置表</t>
  </si>
  <si>
    <r>
      <rPr>
        <sz val="12"/>
        <color theme="1"/>
        <rFont val="微软雅黑"/>
        <family val="2"/>
        <charset val="134"/>
      </rPr>
      <t>轿厢宽</t>
    </r>
    <r>
      <rPr>
        <sz val="12"/>
        <color theme="1"/>
        <rFont val="Yu Gothic UI"/>
        <family val="2"/>
        <charset val="128"/>
      </rPr>
      <t>度 CW</t>
    </r>
    <r>
      <rPr>
        <vertAlign val="subscript"/>
        <sz val="12"/>
        <color theme="1"/>
        <rFont val="Yu Gothic UI"/>
        <family val="2"/>
        <charset val="128"/>
      </rPr>
      <t>0</t>
    </r>
    <r>
      <rPr>
        <sz val="12"/>
        <color theme="1"/>
        <rFont val="Yu Gothic UI"/>
        <family val="2"/>
        <charset val="128"/>
      </rPr>
      <t>(mm)</t>
    </r>
  </si>
  <si>
    <r>
      <rPr>
        <sz val="12"/>
        <color theme="1"/>
        <rFont val="微软雅黑"/>
        <family val="2"/>
        <charset val="134"/>
      </rPr>
      <t>轿厢宽</t>
    </r>
    <r>
      <rPr>
        <sz val="12"/>
        <color theme="1"/>
        <rFont val="Yu Gothic UI"/>
        <family val="2"/>
        <charset val="128"/>
      </rPr>
      <t>度 CW(mm)</t>
    </r>
  </si>
  <si>
    <r>
      <rPr>
        <sz val="10"/>
        <rFont val="微软雅黑"/>
        <family val="2"/>
        <charset val="134"/>
      </rPr>
      <t>运</t>
    </r>
    <r>
      <rPr>
        <sz val="10"/>
        <rFont val="Yu Gothic UI"/>
        <family val="2"/>
        <charset val="128"/>
      </rPr>
      <t>行高度 TH</t>
    </r>
  </si>
  <si>
    <r>
      <rPr>
        <sz val="12"/>
        <color theme="1"/>
        <rFont val="微软雅黑"/>
        <family val="2"/>
        <charset val="134"/>
      </rPr>
      <t>轿厢</t>
    </r>
    <r>
      <rPr>
        <sz val="12"/>
        <color theme="1"/>
        <rFont val="Yu Gothic UI"/>
        <family val="2"/>
        <charset val="128"/>
      </rPr>
      <t>深度 CD</t>
    </r>
    <r>
      <rPr>
        <vertAlign val="subscript"/>
        <sz val="12"/>
        <color theme="1"/>
        <rFont val="Yu Gothic UI"/>
        <family val="2"/>
        <charset val="128"/>
      </rPr>
      <t>0</t>
    </r>
    <r>
      <rPr>
        <sz val="12"/>
        <color theme="1"/>
        <rFont val="Yu Gothic UI"/>
        <family val="2"/>
        <charset val="128"/>
      </rPr>
      <t>(mm)</t>
    </r>
  </si>
  <si>
    <r>
      <rPr>
        <sz val="12"/>
        <color theme="1"/>
        <rFont val="微软雅黑"/>
        <family val="2"/>
        <charset val="134"/>
      </rPr>
      <t>轿厢</t>
    </r>
    <r>
      <rPr>
        <sz val="12"/>
        <color theme="1"/>
        <rFont val="Yu Gothic UI"/>
        <family val="2"/>
        <charset val="128"/>
      </rPr>
      <t>深度 CD(mm)</t>
    </r>
  </si>
  <si>
    <r>
      <rPr>
        <sz val="10"/>
        <rFont val="微软雅黑"/>
        <family val="2"/>
        <charset val="134"/>
      </rPr>
      <t>对</t>
    </r>
    <r>
      <rPr>
        <sz val="10"/>
        <rFont val="Yu Gothic UI"/>
        <family val="2"/>
        <charset val="128"/>
      </rPr>
      <t>重位置</t>
    </r>
  </si>
  <si>
    <r>
      <rPr>
        <sz val="12"/>
        <color theme="1"/>
        <rFont val="微软雅黑"/>
        <family val="2"/>
        <charset val="134"/>
      </rPr>
      <t>开门类</t>
    </r>
    <r>
      <rPr>
        <sz val="12"/>
        <color theme="1"/>
        <rFont val="Yu Gothic UI"/>
        <family val="2"/>
        <charset val="128"/>
      </rPr>
      <t>型</t>
    </r>
  </si>
  <si>
    <r>
      <rPr>
        <sz val="10"/>
        <rFont val="微软雅黑"/>
        <family val="2"/>
        <charset val="134"/>
      </rPr>
      <t>轿厢宽</t>
    </r>
    <r>
      <rPr>
        <sz val="10"/>
        <rFont val="Yu Gothic UI"/>
        <family val="2"/>
        <charset val="128"/>
      </rPr>
      <t>度 CW</t>
    </r>
    <r>
      <rPr>
        <vertAlign val="subscript"/>
        <sz val="10"/>
        <rFont val="Yu Gothic UI"/>
        <family val="2"/>
        <charset val="128"/>
      </rPr>
      <t>0</t>
    </r>
  </si>
  <si>
    <r>
      <rPr>
        <sz val="12"/>
        <color theme="1"/>
        <rFont val="微软雅黑"/>
        <family val="2"/>
        <charset val="134"/>
      </rPr>
      <t>门宽</t>
    </r>
    <r>
      <rPr>
        <sz val="12"/>
        <color theme="1"/>
        <rFont val="Yu Gothic UI"/>
        <family val="2"/>
        <charset val="128"/>
      </rPr>
      <t xml:space="preserve"> DW</t>
    </r>
    <r>
      <rPr>
        <vertAlign val="subscript"/>
        <sz val="12"/>
        <color theme="1"/>
        <rFont val="Yu Gothic UI"/>
        <family val="2"/>
        <charset val="128"/>
      </rPr>
      <t>0</t>
    </r>
    <r>
      <rPr>
        <sz val="12"/>
        <color theme="1"/>
        <rFont val="Yu Gothic UI"/>
        <family val="2"/>
        <charset val="128"/>
      </rPr>
      <t>(mm)</t>
    </r>
  </si>
  <si>
    <r>
      <rPr>
        <sz val="12"/>
        <color theme="1"/>
        <rFont val="微软雅黑"/>
        <family val="2"/>
        <charset val="134"/>
      </rPr>
      <t>门宽</t>
    </r>
    <r>
      <rPr>
        <sz val="12"/>
        <color theme="1"/>
        <rFont val="Yu Gothic UI"/>
        <family val="2"/>
        <charset val="128"/>
      </rPr>
      <t xml:space="preserve"> DW(mm)</t>
    </r>
  </si>
  <si>
    <r>
      <rPr>
        <sz val="10"/>
        <rFont val="微软雅黑"/>
        <family val="2"/>
        <charset val="134"/>
      </rPr>
      <t>轿厢</t>
    </r>
    <r>
      <rPr>
        <sz val="10"/>
        <rFont val="Yu Gothic UI"/>
        <family val="2"/>
        <charset val="128"/>
      </rPr>
      <t>深度 CD</t>
    </r>
    <r>
      <rPr>
        <vertAlign val="subscript"/>
        <sz val="10"/>
        <rFont val="Yu Gothic UI"/>
        <family val="2"/>
        <charset val="128"/>
      </rPr>
      <t>0</t>
    </r>
  </si>
  <si>
    <r>
      <rPr>
        <sz val="12"/>
        <color theme="1"/>
        <rFont val="Yu Gothic UI"/>
        <family val="2"/>
        <charset val="128"/>
      </rPr>
      <t>是否</t>
    </r>
    <r>
      <rPr>
        <sz val="12"/>
        <color theme="1"/>
        <rFont val="微软雅黑"/>
        <family val="2"/>
        <charset val="134"/>
      </rPr>
      <t>对开贯</t>
    </r>
    <r>
      <rPr>
        <sz val="12"/>
        <color theme="1"/>
        <rFont val="Yu Gothic UI"/>
        <family val="2"/>
        <charset val="128"/>
      </rPr>
      <t>通</t>
    </r>
    <r>
      <rPr>
        <sz val="12"/>
        <color theme="1"/>
        <rFont val="微软雅黑"/>
        <family val="2"/>
        <charset val="134"/>
      </rPr>
      <t>门</t>
    </r>
    <r>
      <rPr>
        <sz val="12"/>
        <color theme="1"/>
        <rFont val="Yu Gothic UI"/>
        <family val="2"/>
        <charset val="128"/>
      </rPr>
      <t>?</t>
    </r>
  </si>
  <si>
    <r>
      <rPr>
        <sz val="10"/>
        <rFont val="微软雅黑"/>
        <family val="2"/>
        <charset val="134"/>
      </rPr>
      <t>开门类</t>
    </r>
    <r>
      <rPr>
        <sz val="10"/>
        <rFont val="Yu Gothic UI"/>
        <family val="2"/>
        <charset val="128"/>
      </rPr>
      <t>型</t>
    </r>
  </si>
  <si>
    <r>
      <rPr>
        <sz val="12"/>
        <color theme="1"/>
        <rFont val="微软雅黑"/>
        <family val="2"/>
        <charset val="134"/>
      </rPr>
      <t>门</t>
    </r>
    <r>
      <rPr>
        <sz val="12"/>
        <color theme="1"/>
        <rFont val="Yu Gothic UI"/>
        <family val="2"/>
        <charset val="128"/>
      </rPr>
      <t>要求居中?</t>
    </r>
  </si>
  <si>
    <r>
      <rPr>
        <sz val="10"/>
        <rFont val="微软雅黑"/>
        <family val="2"/>
        <charset val="134"/>
      </rPr>
      <t>门宽</t>
    </r>
    <r>
      <rPr>
        <sz val="10"/>
        <rFont val="Yu Gothic UI"/>
        <family val="2"/>
        <charset val="128"/>
      </rPr>
      <t xml:space="preserve"> DW</t>
    </r>
    <r>
      <rPr>
        <vertAlign val="subscript"/>
        <sz val="10"/>
        <rFont val="Yu Gothic UI"/>
        <family val="2"/>
        <charset val="128"/>
      </rPr>
      <t>0</t>
    </r>
  </si>
  <si>
    <r>
      <rPr>
        <sz val="12"/>
        <color theme="1"/>
        <rFont val="Yu Gothic UI"/>
        <family val="2"/>
        <charset val="128"/>
      </rPr>
      <t>井道</t>
    </r>
    <r>
      <rPr>
        <sz val="12"/>
        <color theme="1"/>
        <rFont val="微软雅黑"/>
        <family val="2"/>
        <charset val="134"/>
      </rPr>
      <t>宽</t>
    </r>
    <r>
      <rPr>
        <sz val="12"/>
        <color theme="1"/>
        <rFont val="Yu Gothic UI"/>
        <family val="2"/>
        <charset val="128"/>
      </rPr>
      <t>度 SW</t>
    </r>
    <r>
      <rPr>
        <vertAlign val="subscript"/>
        <sz val="12"/>
        <color theme="1"/>
        <rFont val="Yu Gothic UI"/>
        <family val="2"/>
        <charset val="128"/>
      </rPr>
      <t>0</t>
    </r>
    <r>
      <rPr>
        <sz val="12"/>
        <color theme="1"/>
        <rFont val="Yu Gothic UI"/>
        <family val="2"/>
        <charset val="128"/>
      </rPr>
      <t>(mm)</t>
    </r>
  </si>
  <si>
    <r>
      <rPr>
        <sz val="12"/>
        <color theme="1"/>
        <rFont val="Yu Gothic UI"/>
        <family val="2"/>
        <charset val="128"/>
      </rPr>
      <t>井道</t>
    </r>
    <r>
      <rPr>
        <sz val="12"/>
        <color theme="1"/>
        <rFont val="微软雅黑"/>
        <family val="2"/>
        <charset val="134"/>
      </rPr>
      <t>宽</t>
    </r>
    <r>
      <rPr>
        <sz val="12"/>
        <color theme="1"/>
        <rFont val="Yu Gothic UI"/>
        <family val="2"/>
        <charset val="128"/>
      </rPr>
      <t>度 SW</t>
    </r>
    <r>
      <rPr>
        <vertAlign val="subscript"/>
        <sz val="12"/>
        <color theme="1"/>
        <rFont val="Yu Gothic UI"/>
        <family val="2"/>
        <charset val="128"/>
      </rPr>
      <t>t</t>
    </r>
    <r>
      <rPr>
        <sz val="12"/>
        <color theme="1"/>
        <rFont val="Yu Gothic UI"/>
        <family val="2"/>
        <charset val="128"/>
      </rPr>
      <t>(mm)</t>
    </r>
  </si>
  <si>
    <r>
      <rPr>
        <sz val="10"/>
        <rFont val="Yu Gothic UI"/>
        <family val="2"/>
        <charset val="128"/>
      </rPr>
      <t>是否</t>
    </r>
    <r>
      <rPr>
        <sz val="10"/>
        <rFont val="微软雅黑"/>
        <family val="2"/>
        <charset val="134"/>
      </rPr>
      <t>贯</t>
    </r>
    <r>
      <rPr>
        <sz val="10"/>
        <rFont val="Yu Gothic UI"/>
        <family val="2"/>
        <charset val="128"/>
      </rPr>
      <t>通</t>
    </r>
    <r>
      <rPr>
        <sz val="10"/>
        <rFont val="微软雅黑"/>
        <family val="2"/>
        <charset val="134"/>
      </rPr>
      <t>门</t>
    </r>
  </si>
  <si>
    <r>
      <rPr>
        <sz val="12"/>
        <color theme="1"/>
        <rFont val="Yu Gothic UI"/>
        <family val="2"/>
        <charset val="128"/>
      </rPr>
      <t>井道深度 SD</t>
    </r>
    <r>
      <rPr>
        <vertAlign val="subscript"/>
        <sz val="12"/>
        <color theme="1"/>
        <rFont val="Yu Gothic UI"/>
        <family val="2"/>
        <charset val="128"/>
      </rPr>
      <t>0</t>
    </r>
    <r>
      <rPr>
        <sz val="12"/>
        <color theme="1"/>
        <rFont val="Yu Gothic UI"/>
        <family val="2"/>
        <charset val="128"/>
      </rPr>
      <t>(mm)</t>
    </r>
  </si>
  <si>
    <r>
      <rPr>
        <sz val="12"/>
        <color theme="1"/>
        <rFont val="Yu Gothic UI"/>
        <family val="2"/>
        <charset val="128"/>
      </rPr>
      <t>井道深度 SD</t>
    </r>
    <r>
      <rPr>
        <vertAlign val="subscript"/>
        <sz val="12"/>
        <color theme="1"/>
        <rFont val="Yu Gothic UI"/>
        <family val="2"/>
        <charset val="128"/>
      </rPr>
      <t>t</t>
    </r>
    <r>
      <rPr>
        <sz val="12"/>
        <color theme="1"/>
        <rFont val="Yu Gothic UI"/>
        <family val="2"/>
        <charset val="128"/>
      </rPr>
      <t>(mm)</t>
    </r>
  </si>
  <si>
    <r>
      <rPr>
        <sz val="10"/>
        <rFont val="微软雅黑"/>
        <family val="2"/>
        <charset val="134"/>
      </rPr>
      <t>门</t>
    </r>
    <r>
      <rPr>
        <sz val="10"/>
        <rFont val="Yu Gothic UI"/>
        <family val="2"/>
        <charset val="128"/>
      </rPr>
      <t>要求居中</t>
    </r>
  </si>
  <si>
    <r>
      <rPr>
        <sz val="12"/>
        <color theme="1"/>
        <rFont val="Yu Gothic UI"/>
        <family val="2"/>
        <charset val="128"/>
      </rPr>
      <t>最大</t>
    </r>
    <r>
      <rPr>
        <sz val="12"/>
        <color theme="1"/>
        <rFont val="微软雅黑"/>
        <family val="2"/>
        <charset val="134"/>
      </rPr>
      <t>载</t>
    </r>
    <r>
      <rPr>
        <sz val="12"/>
        <color theme="1"/>
        <rFont val="Yu Gothic UI"/>
        <family val="2"/>
        <charset val="128"/>
      </rPr>
      <t>重 Q</t>
    </r>
    <r>
      <rPr>
        <vertAlign val="subscript"/>
        <sz val="12"/>
        <color theme="1"/>
        <rFont val="Yu Gothic UI"/>
        <family val="2"/>
        <charset val="128"/>
      </rPr>
      <t>max</t>
    </r>
    <r>
      <rPr>
        <sz val="12"/>
        <color theme="1"/>
        <rFont val="Yu Gothic UI"/>
        <family val="2"/>
        <charset val="128"/>
      </rPr>
      <t>(kg)</t>
    </r>
  </si>
  <si>
    <r>
      <rPr>
        <sz val="12"/>
        <color theme="1"/>
        <rFont val="微软雅黑"/>
        <family val="2"/>
        <charset val="134"/>
      </rPr>
      <t>载</t>
    </r>
    <r>
      <rPr>
        <sz val="12"/>
        <color theme="1"/>
        <rFont val="Yu Gothic UI"/>
        <family val="2"/>
        <charset val="128"/>
      </rPr>
      <t>重 Q(kg)</t>
    </r>
  </si>
  <si>
    <r>
      <rPr>
        <sz val="10"/>
        <rFont val="Yu Gothic UI"/>
        <family val="2"/>
        <charset val="128"/>
      </rPr>
      <t>井道</t>
    </r>
    <r>
      <rPr>
        <sz val="10"/>
        <rFont val="微软雅黑"/>
        <family val="2"/>
        <charset val="134"/>
      </rPr>
      <t>宽</t>
    </r>
    <r>
      <rPr>
        <sz val="10"/>
        <rFont val="Yu Gothic UI"/>
        <family val="2"/>
        <charset val="128"/>
      </rPr>
      <t>度 SW</t>
    </r>
    <r>
      <rPr>
        <vertAlign val="subscript"/>
        <sz val="10"/>
        <rFont val="Yu Gothic UI"/>
        <family val="2"/>
        <charset val="128"/>
      </rPr>
      <t>0</t>
    </r>
  </si>
  <si>
    <r>
      <rPr>
        <sz val="12"/>
        <color theme="1"/>
        <rFont val="Yu Gothic UI"/>
        <family val="2"/>
        <charset val="128"/>
      </rPr>
      <t>最小</t>
    </r>
    <r>
      <rPr>
        <sz val="12"/>
        <color theme="1"/>
        <rFont val="微软雅黑"/>
        <family val="2"/>
        <charset val="134"/>
      </rPr>
      <t>载</t>
    </r>
    <r>
      <rPr>
        <sz val="12"/>
        <color theme="1"/>
        <rFont val="Yu Gothic UI"/>
        <family val="2"/>
        <charset val="128"/>
      </rPr>
      <t>重 Q</t>
    </r>
    <r>
      <rPr>
        <vertAlign val="subscript"/>
        <sz val="12"/>
        <color theme="1"/>
        <rFont val="Yu Gothic UI"/>
        <family val="2"/>
        <charset val="128"/>
      </rPr>
      <t>min</t>
    </r>
    <r>
      <rPr>
        <sz val="12"/>
        <color theme="1"/>
        <rFont val="Yu Gothic UI"/>
        <family val="2"/>
        <charset val="128"/>
      </rPr>
      <t>(kg)</t>
    </r>
  </si>
  <si>
    <r>
      <rPr>
        <sz val="10"/>
        <rFont val="Yu Gothic UI"/>
        <family val="2"/>
        <charset val="128"/>
      </rPr>
      <t>井道深度 SD</t>
    </r>
    <r>
      <rPr>
        <vertAlign val="subscript"/>
        <sz val="10"/>
        <rFont val="Yu Gothic UI"/>
        <family val="2"/>
        <charset val="128"/>
      </rPr>
      <t>0</t>
    </r>
  </si>
  <si>
    <r>
      <rPr>
        <sz val="12"/>
        <color theme="1"/>
        <rFont val="宋体"/>
        <family val="3"/>
        <charset val="134"/>
      </rPr>
      <t>轿厢</t>
    </r>
    <r>
      <rPr>
        <sz val="12"/>
        <color theme="1"/>
        <rFont val="Yu Gothic UI"/>
        <family val="2"/>
        <charset val="128"/>
      </rPr>
      <t>高度CH</t>
    </r>
    <r>
      <rPr>
        <vertAlign val="subscript"/>
        <sz val="12"/>
        <color theme="1"/>
        <rFont val="Yu Gothic UI"/>
        <family val="2"/>
        <charset val="128"/>
      </rPr>
      <t>0</t>
    </r>
    <r>
      <rPr>
        <sz val="12"/>
        <color theme="1"/>
        <rFont val="Yu Gothic UI"/>
        <family val="2"/>
        <charset val="128"/>
      </rPr>
      <t>(mm)</t>
    </r>
  </si>
  <si>
    <r>
      <rPr>
        <sz val="12"/>
        <color theme="1"/>
        <rFont val="宋体"/>
        <family val="3"/>
        <charset val="134"/>
      </rPr>
      <t>轿厢</t>
    </r>
    <r>
      <rPr>
        <sz val="12"/>
        <color theme="1"/>
        <rFont val="Yu Gothic UI"/>
        <family val="2"/>
        <charset val="128"/>
      </rPr>
      <t>高度CH(mm)</t>
    </r>
  </si>
  <si>
    <r>
      <rPr>
        <sz val="10"/>
        <rFont val="宋体"/>
        <family val="3"/>
        <charset val="134"/>
      </rPr>
      <t>轿厢</t>
    </r>
    <r>
      <rPr>
        <sz val="10"/>
        <rFont val="Yu Gothic UI"/>
        <family val="2"/>
        <charset val="128"/>
      </rPr>
      <t>高度CH</t>
    </r>
    <r>
      <rPr>
        <vertAlign val="subscript"/>
        <sz val="10"/>
        <rFont val="Yu Gothic UI"/>
        <family val="2"/>
        <charset val="128"/>
      </rPr>
      <t>0</t>
    </r>
  </si>
  <si>
    <r>
      <rPr>
        <sz val="12"/>
        <rFont val="Yu Gothic UI"/>
        <family val="2"/>
        <charset val="128"/>
      </rPr>
      <t>如果当前</t>
    </r>
    <r>
      <rPr>
        <sz val="12"/>
        <rFont val="微软雅黑"/>
        <family val="2"/>
        <charset val="134"/>
      </rPr>
      <t>计</t>
    </r>
    <r>
      <rPr>
        <sz val="12"/>
        <rFont val="Yu Gothic UI"/>
        <family val="2"/>
        <charset val="128"/>
      </rPr>
      <t>算</t>
    </r>
    <r>
      <rPr>
        <sz val="12"/>
        <rFont val="微软雅黑"/>
        <family val="2"/>
        <charset val="134"/>
      </rPr>
      <t>值</t>
    </r>
    <r>
      <rPr>
        <sz val="12"/>
        <rFont val="Yu Gothic UI"/>
        <family val="2"/>
        <charset val="128"/>
      </rPr>
      <t>与</t>
    </r>
    <r>
      <rPr>
        <sz val="12"/>
        <rFont val="微软雅黑"/>
        <family val="2"/>
        <charset val="134"/>
      </rPr>
      <t>标</t>
    </r>
    <r>
      <rPr>
        <sz val="12"/>
        <rFont val="Yu Gothic UI"/>
        <family val="2"/>
        <charset val="128"/>
      </rPr>
      <t>准配置</t>
    </r>
    <r>
      <rPr>
        <sz val="12"/>
        <rFont val="微软雅黑"/>
        <family val="2"/>
        <charset val="134"/>
      </rPr>
      <t>值</t>
    </r>
    <r>
      <rPr>
        <sz val="12"/>
        <rFont val="Yu Gothic UI"/>
        <family val="2"/>
        <charset val="128"/>
      </rPr>
      <t>匹配，</t>
    </r>
    <r>
      <rPr>
        <sz val="12"/>
        <rFont val="微软雅黑"/>
        <family val="2"/>
        <charset val="134"/>
      </rPr>
      <t>则</t>
    </r>
    <r>
      <rPr>
        <sz val="12"/>
        <rFont val="Yu Gothic UI"/>
        <family val="2"/>
        <charset val="128"/>
      </rPr>
      <t>井道</t>
    </r>
    <r>
      <rPr>
        <sz val="12"/>
        <rFont val="微软雅黑"/>
        <family val="2"/>
        <charset val="134"/>
      </rPr>
      <t>宽</t>
    </r>
    <r>
      <rPr>
        <sz val="12"/>
        <rFont val="Yu Gothic UI"/>
        <family val="2"/>
        <charset val="128"/>
      </rPr>
      <t>度、深度的最</t>
    </r>
    <r>
      <rPr>
        <sz val="12"/>
        <rFont val="微软雅黑"/>
        <family val="2"/>
        <charset val="134"/>
      </rPr>
      <t>终结</t>
    </r>
    <r>
      <rPr>
        <sz val="12"/>
        <rFont val="Yu Gothic UI"/>
        <family val="2"/>
        <charset val="128"/>
      </rPr>
      <t>果与</t>
    </r>
    <r>
      <rPr>
        <sz val="12"/>
        <rFont val="微软雅黑"/>
        <family val="2"/>
        <charset val="134"/>
      </rPr>
      <t>标</t>
    </r>
    <r>
      <rPr>
        <sz val="12"/>
        <rFont val="Yu Gothic UI"/>
        <family val="2"/>
        <charset val="128"/>
      </rPr>
      <t>准配置相</t>
    </r>
    <r>
      <rPr>
        <sz val="12"/>
        <rFont val="微软雅黑"/>
        <family val="2"/>
        <charset val="134"/>
      </rPr>
      <t>统</t>
    </r>
    <r>
      <rPr>
        <sz val="12"/>
        <rFont val="Yu Gothic UI"/>
        <family val="2"/>
        <charset val="128"/>
      </rPr>
      <t>一，</t>
    </r>
    <r>
      <rPr>
        <sz val="12"/>
        <rFont val="微软雅黑"/>
        <family val="2"/>
        <charset val="134"/>
      </rPr>
      <t>值</t>
    </r>
    <r>
      <rPr>
        <sz val="12"/>
        <rFont val="Yu Gothic UI"/>
        <family val="2"/>
        <charset val="128"/>
      </rPr>
      <t>如下：</t>
    </r>
  </si>
  <si>
    <r>
      <rPr>
        <sz val="11"/>
        <rFont val="Yu Gothic UI"/>
        <family val="2"/>
        <charset val="128"/>
      </rPr>
      <t>此表</t>
    </r>
    <r>
      <rPr>
        <sz val="11"/>
        <rFont val="宋体"/>
        <family val="3"/>
        <charset val="134"/>
      </rPr>
      <t>为单开门</t>
    </r>
    <r>
      <rPr>
        <sz val="11"/>
        <rFont val="Yu Gothic UI"/>
        <family val="2"/>
        <charset val="128"/>
      </rPr>
      <t>、所</t>
    </r>
    <r>
      <rPr>
        <sz val="11"/>
        <rFont val="宋体"/>
        <family val="3"/>
        <charset val="134"/>
      </rPr>
      <t>选对</t>
    </r>
    <r>
      <rPr>
        <sz val="11"/>
        <rFont val="Yu Gothic UI"/>
        <family val="2"/>
        <charset val="128"/>
      </rPr>
      <t>重位置</t>
    </r>
    <r>
      <rPr>
        <sz val="11"/>
        <rFont val="宋体"/>
        <family val="3"/>
        <charset val="134"/>
      </rPr>
      <t>对应</t>
    </r>
    <r>
      <rPr>
        <sz val="11"/>
        <rFont val="Yu Gothic UI"/>
        <family val="2"/>
        <charset val="128"/>
      </rPr>
      <t>的</t>
    </r>
    <r>
      <rPr>
        <sz val="11"/>
        <rFont val="宋体"/>
        <family val="3"/>
        <charset val="134"/>
      </rPr>
      <t>标</t>
    </r>
    <r>
      <rPr>
        <sz val="11"/>
        <rFont val="Yu Gothic UI"/>
        <family val="2"/>
        <charset val="128"/>
      </rPr>
      <t>准参数</t>
    </r>
  </si>
  <si>
    <r>
      <rPr>
        <sz val="12"/>
        <color theme="1"/>
        <rFont val="Yu Gothic UI"/>
        <family val="2"/>
        <charset val="128"/>
      </rPr>
      <t>井道</t>
    </r>
    <r>
      <rPr>
        <sz val="12"/>
        <color theme="1"/>
        <rFont val="微软雅黑"/>
        <family val="2"/>
        <charset val="134"/>
      </rPr>
      <t>宽</t>
    </r>
    <r>
      <rPr>
        <sz val="12"/>
        <color theme="1"/>
        <rFont val="Yu Gothic UI"/>
        <family val="2"/>
        <charset val="128"/>
      </rPr>
      <t>度 SW(mm)</t>
    </r>
  </si>
  <si>
    <r>
      <rPr>
        <sz val="12"/>
        <color theme="1"/>
        <rFont val="Yu Gothic UI"/>
        <family val="2"/>
        <charset val="128"/>
      </rPr>
      <t>超出</t>
    </r>
    <r>
      <rPr>
        <sz val="12"/>
        <color theme="1"/>
        <rFont val="微软雅黑"/>
        <family val="2"/>
        <charset val="134"/>
      </rPr>
      <t>标</t>
    </r>
    <r>
      <rPr>
        <sz val="12"/>
        <color theme="1"/>
        <rFont val="Yu Gothic UI"/>
        <family val="2"/>
        <charset val="128"/>
      </rPr>
      <t>配最大</t>
    </r>
    <r>
      <rPr>
        <sz val="12"/>
        <color theme="1"/>
        <rFont val="微软雅黑"/>
        <family val="2"/>
        <charset val="134"/>
      </rPr>
      <t>载</t>
    </r>
    <r>
      <rPr>
        <sz val="12"/>
        <color theme="1"/>
        <rFont val="Yu Gothic UI"/>
        <family val="2"/>
        <charset val="128"/>
      </rPr>
      <t>重？</t>
    </r>
  </si>
  <si>
    <t>井道深度 SD(mm)</t>
  </si>
  <si>
    <r>
      <rPr>
        <sz val="12"/>
        <color theme="1"/>
        <rFont val="Yu Gothic UI"/>
        <family val="2"/>
        <charset val="128"/>
      </rPr>
      <t>小于</t>
    </r>
    <r>
      <rPr>
        <sz val="12"/>
        <color theme="1"/>
        <rFont val="微软雅黑"/>
        <family val="2"/>
        <charset val="134"/>
      </rPr>
      <t>标</t>
    </r>
    <r>
      <rPr>
        <sz val="12"/>
        <color theme="1"/>
        <rFont val="Yu Gothic UI"/>
        <family val="2"/>
        <charset val="128"/>
      </rPr>
      <t>配最小</t>
    </r>
    <r>
      <rPr>
        <sz val="12"/>
        <color theme="1"/>
        <rFont val="微软雅黑"/>
        <family val="2"/>
        <charset val="134"/>
      </rPr>
      <t>载</t>
    </r>
    <r>
      <rPr>
        <sz val="12"/>
        <color theme="1"/>
        <rFont val="Yu Gothic UI"/>
        <family val="2"/>
        <charset val="128"/>
      </rPr>
      <t>重？</t>
    </r>
  </si>
  <si>
    <r>
      <rPr>
        <b/>
        <sz val="12"/>
        <rFont val="Yu Gothic UI"/>
        <family val="2"/>
        <charset val="128"/>
      </rPr>
      <t xml:space="preserve">7 </t>
    </r>
    <r>
      <rPr>
        <b/>
        <sz val="12"/>
        <rFont val="微软雅黑"/>
        <family val="2"/>
        <charset val="134"/>
      </rPr>
      <t>顶层</t>
    </r>
    <r>
      <rPr>
        <b/>
        <sz val="12"/>
        <rFont val="Yu Gothic UI"/>
        <family val="2"/>
        <charset val="128"/>
      </rPr>
      <t>底坑</t>
    </r>
    <r>
      <rPr>
        <b/>
        <sz val="12"/>
        <rFont val="微软雅黑"/>
        <family val="2"/>
        <charset val="134"/>
      </rPr>
      <t>计</t>
    </r>
    <r>
      <rPr>
        <b/>
        <sz val="12"/>
        <rFont val="Yu Gothic UI"/>
        <family val="2"/>
        <charset val="128"/>
      </rPr>
      <t>算</t>
    </r>
  </si>
  <si>
    <r>
      <rPr>
        <sz val="12"/>
        <rFont val="Yu Gothic UI"/>
        <family val="2"/>
        <charset val="128"/>
      </rPr>
      <t xml:space="preserve">7.1 </t>
    </r>
    <r>
      <rPr>
        <sz val="12"/>
        <rFont val="微软雅黑"/>
        <family val="2"/>
        <charset val="134"/>
      </rPr>
      <t>顶层</t>
    </r>
    <r>
      <rPr>
        <sz val="12"/>
        <rFont val="Yu Gothic UI"/>
        <family val="2"/>
        <charset val="128"/>
      </rPr>
      <t>高度</t>
    </r>
    <r>
      <rPr>
        <sz val="12"/>
        <rFont val="微软雅黑"/>
        <family val="2"/>
        <charset val="134"/>
      </rPr>
      <t>计</t>
    </r>
    <r>
      <rPr>
        <sz val="12"/>
        <rFont val="Yu Gothic UI"/>
        <family val="2"/>
        <charset val="128"/>
      </rPr>
      <t>算</t>
    </r>
  </si>
  <si>
    <r>
      <rPr>
        <sz val="12"/>
        <rFont val="Yu Gothic UI"/>
        <family val="2"/>
        <charset val="128"/>
      </rPr>
      <t>按</t>
    </r>
    <r>
      <rPr>
        <sz val="12"/>
        <rFont val="宋体"/>
        <family val="3"/>
        <charset val="134"/>
      </rPr>
      <t>载</t>
    </r>
    <r>
      <rPr>
        <sz val="12"/>
        <rFont val="Yu Gothic UI"/>
        <family val="2"/>
        <charset val="128"/>
      </rPr>
      <t>重速度</t>
    </r>
    <r>
      <rPr>
        <sz val="12"/>
        <rFont val="宋体"/>
        <family val="3"/>
        <charset val="134"/>
      </rPr>
      <t>查标</t>
    </r>
    <r>
      <rPr>
        <sz val="12"/>
        <rFont val="Yu Gothic UI"/>
        <family val="2"/>
        <charset val="128"/>
      </rPr>
      <t>准配置表，</t>
    </r>
    <r>
      <rPr>
        <sz val="12"/>
        <rFont val="宋体"/>
        <family val="3"/>
        <charset val="134"/>
      </rPr>
      <t>顶层</t>
    </r>
    <r>
      <rPr>
        <sz val="12"/>
        <rFont val="Yu Gothic UI"/>
        <family val="2"/>
        <charset val="128"/>
      </rPr>
      <t>高度 SH=SH0(mm)+CH-CH0=</t>
    </r>
  </si>
  <si>
    <r>
      <rPr>
        <sz val="12"/>
        <rFont val="Yu Gothic UI"/>
        <family val="2"/>
        <charset val="128"/>
      </rPr>
      <t>7.2 地坑深度</t>
    </r>
    <r>
      <rPr>
        <sz val="12"/>
        <rFont val="微软雅黑"/>
        <family val="2"/>
        <charset val="134"/>
      </rPr>
      <t>计</t>
    </r>
    <r>
      <rPr>
        <sz val="12"/>
        <rFont val="Yu Gothic UI"/>
        <family val="2"/>
        <charset val="128"/>
      </rPr>
      <t>算</t>
    </r>
  </si>
  <si>
    <r>
      <rPr>
        <sz val="12"/>
        <rFont val="Yu Gothic UI"/>
        <family val="2"/>
        <charset val="128"/>
      </rPr>
      <t>由</t>
    </r>
    <r>
      <rPr>
        <sz val="12"/>
        <rFont val="微软雅黑"/>
        <family val="2"/>
        <charset val="134"/>
      </rPr>
      <t>载</t>
    </r>
    <r>
      <rPr>
        <sz val="12"/>
        <rFont val="Yu Gothic UI"/>
        <family val="2"/>
        <charset val="128"/>
      </rPr>
      <t>重速度，</t>
    </r>
    <r>
      <rPr>
        <sz val="12"/>
        <rFont val="微软雅黑"/>
        <family val="2"/>
        <charset val="134"/>
      </rPr>
      <t>查标</t>
    </r>
    <r>
      <rPr>
        <sz val="12"/>
        <rFont val="Yu Gothic UI"/>
        <family val="2"/>
        <charset val="128"/>
      </rPr>
      <t>准配置表后，</t>
    </r>
  </si>
  <si>
    <r>
      <rPr>
        <sz val="12"/>
        <rFont val="Yu Gothic UI"/>
        <family val="2"/>
        <charset val="128"/>
      </rPr>
      <t>SP</t>
    </r>
    <r>
      <rPr>
        <vertAlign val="subscript"/>
        <sz val="12"/>
        <rFont val="Yu Gothic UI"/>
        <family val="2"/>
        <charset val="128"/>
      </rPr>
      <t>0</t>
    </r>
    <r>
      <rPr>
        <sz val="12"/>
        <rFont val="Yu Gothic UI"/>
        <family val="2"/>
        <charset val="128"/>
      </rPr>
      <t>(mm):</t>
    </r>
  </si>
  <si>
    <t>SP</t>
  </si>
  <si>
    <r>
      <rPr>
        <b/>
        <sz val="10"/>
        <rFont val="黑体"/>
        <family val="3"/>
        <charset val="134"/>
      </rPr>
      <t>额</t>
    </r>
    <r>
      <rPr>
        <b/>
        <sz val="10"/>
        <rFont val="Yu Gothic UI"/>
        <family val="2"/>
        <charset val="128"/>
      </rPr>
      <t>定</t>
    </r>
    <r>
      <rPr>
        <b/>
        <sz val="10"/>
        <rFont val="黑体"/>
        <family val="3"/>
        <charset val="134"/>
      </rPr>
      <t>载</t>
    </r>
    <r>
      <rPr>
        <b/>
        <sz val="10"/>
        <rFont val="Yu Gothic UI"/>
        <family val="2"/>
        <charset val="128"/>
      </rPr>
      <t>重Q-</t>
    </r>
    <r>
      <rPr>
        <b/>
        <sz val="10"/>
        <rFont val="黑体"/>
        <family val="3"/>
        <charset val="134"/>
      </rPr>
      <t>标</t>
    </r>
    <r>
      <rPr>
        <b/>
        <sz val="10"/>
        <rFont val="Yu Gothic UI"/>
        <family val="2"/>
        <charset val="128"/>
      </rPr>
      <t>准配置(kg)</t>
    </r>
  </si>
  <si>
    <r>
      <rPr>
        <sz val="10"/>
        <color theme="0"/>
        <rFont val="Yu Gothic UI"/>
        <family val="2"/>
        <charset val="128"/>
      </rPr>
      <t>LTHX</t>
    </r>
    <r>
      <rPr>
        <sz val="10"/>
        <color theme="0"/>
        <rFont val="黑体"/>
        <family val="3"/>
        <charset val="134"/>
      </rPr>
      <t>标</t>
    </r>
    <r>
      <rPr>
        <sz val="10"/>
        <color theme="0"/>
        <rFont val="Yu Gothic UI"/>
        <family val="2"/>
        <charset val="128"/>
      </rPr>
      <t>准配置</t>
    </r>
    <r>
      <rPr>
        <sz val="10"/>
        <color theme="0"/>
        <rFont val="黑体"/>
        <family val="3"/>
        <charset val="134"/>
      </rPr>
      <t>值</t>
    </r>
  </si>
  <si>
    <t>Ver.2023-05-05</t>
  </si>
  <si>
    <r>
      <rPr>
        <sz val="10"/>
        <color theme="0"/>
        <rFont val="Yu Gothic UI"/>
        <family val="2"/>
        <charset val="128"/>
      </rPr>
      <t xml:space="preserve">LTHX Car </t>
    </r>
    <r>
      <rPr>
        <sz val="10"/>
        <color theme="0"/>
        <rFont val="黑体"/>
        <family val="3"/>
        <charset val="134"/>
      </rPr>
      <t>标</t>
    </r>
    <r>
      <rPr>
        <sz val="10"/>
        <color theme="0"/>
        <rFont val="Yu Gothic UI"/>
        <family val="2"/>
        <charset val="128"/>
      </rPr>
      <t>准配置</t>
    </r>
    <r>
      <rPr>
        <sz val="10"/>
        <color theme="0"/>
        <rFont val="黑体"/>
        <family val="3"/>
        <charset val="134"/>
      </rPr>
      <t>值</t>
    </r>
  </si>
  <si>
    <t>Ver.X</t>
  </si>
  <si>
    <r>
      <rPr>
        <sz val="10"/>
        <color theme="0"/>
        <rFont val="Yu Gothic UI"/>
        <family val="2"/>
        <charset val="128"/>
      </rPr>
      <t>LTHW</t>
    </r>
    <r>
      <rPr>
        <sz val="10"/>
        <color theme="0"/>
        <rFont val="黑体"/>
        <family val="3"/>
        <charset val="134"/>
      </rPr>
      <t>标</t>
    </r>
    <r>
      <rPr>
        <sz val="10"/>
        <color theme="0"/>
        <rFont val="Yu Gothic UI"/>
        <family val="2"/>
        <charset val="128"/>
      </rPr>
      <t>准配置</t>
    </r>
    <r>
      <rPr>
        <sz val="10"/>
        <color theme="0"/>
        <rFont val="黑体"/>
        <family val="3"/>
        <charset val="134"/>
      </rPr>
      <t>值</t>
    </r>
  </si>
  <si>
    <r>
      <rPr>
        <sz val="10"/>
        <color theme="0"/>
        <rFont val="Yu Gothic UI"/>
        <family val="2"/>
        <charset val="128"/>
      </rPr>
      <t xml:space="preserve">LTHW Car </t>
    </r>
    <r>
      <rPr>
        <sz val="10"/>
        <color theme="0"/>
        <rFont val="黑体"/>
        <family val="3"/>
        <charset val="134"/>
      </rPr>
      <t>标</t>
    </r>
    <r>
      <rPr>
        <sz val="10"/>
        <color theme="0"/>
        <rFont val="Yu Gothic UI"/>
        <family val="2"/>
        <charset val="128"/>
      </rPr>
      <t>准配置</t>
    </r>
    <r>
      <rPr>
        <sz val="10"/>
        <color theme="0"/>
        <rFont val="黑体"/>
        <family val="3"/>
        <charset val="134"/>
      </rPr>
      <t>值</t>
    </r>
  </si>
  <si>
    <r>
      <rPr>
        <sz val="10"/>
        <color theme="0"/>
        <rFont val="Yu Gothic UI"/>
        <family val="2"/>
        <charset val="128"/>
      </rPr>
      <t>EVIK</t>
    </r>
    <r>
      <rPr>
        <sz val="10"/>
        <color theme="0"/>
        <rFont val="黑体"/>
        <family val="3"/>
        <charset val="134"/>
      </rPr>
      <t>标</t>
    </r>
    <r>
      <rPr>
        <sz val="10"/>
        <color theme="0"/>
        <rFont val="Yu Gothic UI"/>
        <family val="2"/>
        <charset val="128"/>
      </rPr>
      <t>准配置</t>
    </r>
    <r>
      <rPr>
        <sz val="10"/>
        <color theme="0"/>
        <rFont val="黑体"/>
        <family val="3"/>
        <charset val="134"/>
      </rPr>
      <t>值</t>
    </r>
  </si>
  <si>
    <t>Ver.2023-11-10</t>
  </si>
  <si>
    <r>
      <rPr>
        <sz val="10"/>
        <color theme="0"/>
        <rFont val="Yu Gothic UI"/>
        <family val="2"/>
        <charset val="128"/>
      </rPr>
      <t>EVIN</t>
    </r>
    <r>
      <rPr>
        <sz val="10"/>
        <color theme="0"/>
        <rFont val="黑体"/>
        <family val="3"/>
        <charset val="134"/>
      </rPr>
      <t>标</t>
    </r>
    <r>
      <rPr>
        <sz val="10"/>
        <color theme="0"/>
        <rFont val="Yu Gothic UI"/>
        <family val="2"/>
        <charset val="128"/>
      </rPr>
      <t>准配置</t>
    </r>
    <r>
      <rPr>
        <sz val="10"/>
        <color theme="0"/>
        <rFont val="黑体"/>
        <family val="3"/>
        <charset val="134"/>
      </rPr>
      <t>值</t>
    </r>
  </si>
  <si>
    <t>Ver.2023-11-30</t>
  </si>
  <si>
    <r>
      <rPr>
        <sz val="10"/>
        <color theme="0"/>
        <rFont val="Yu Gothic UI"/>
        <family val="2"/>
        <charset val="128"/>
      </rPr>
      <t>LTK</t>
    </r>
    <r>
      <rPr>
        <sz val="10"/>
        <color theme="0"/>
        <rFont val="黑体"/>
        <family val="3"/>
        <charset val="134"/>
      </rPr>
      <t>标</t>
    </r>
    <r>
      <rPr>
        <sz val="10"/>
        <color theme="0"/>
        <rFont val="Yu Gothic UI"/>
        <family val="2"/>
        <charset val="128"/>
      </rPr>
      <t>准配置</t>
    </r>
    <r>
      <rPr>
        <sz val="10"/>
        <color theme="0"/>
        <rFont val="黑体"/>
        <family val="3"/>
        <charset val="134"/>
      </rPr>
      <t>值</t>
    </r>
  </si>
  <si>
    <r>
      <rPr>
        <sz val="10"/>
        <color theme="1"/>
        <rFont val="黑体"/>
        <family val="3"/>
        <charset val="134"/>
      </rPr>
      <t>运</t>
    </r>
    <r>
      <rPr>
        <sz val="10"/>
        <color theme="1"/>
        <rFont val="Yu Gothic UI"/>
        <family val="2"/>
        <charset val="128"/>
      </rPr>
      <t>行高度 TH(m)</t>
    </r>
  </si>
  <si>
    <r>
      <rPr>
        <b/>
        <sz val="10"/>
        <rFont val="Yu Gothic UI"/>
        <family val="2"/>
        <charset val="128"/>
      </rPr>
      <t>S1 最大</t>
    </r>
    <r>
      <rPr>
        <b/>
        <sz val="10"/>
        <rFont val="黑体"/>
        <family val="3"/>
        <charset val="134"/>
      </rPr>
      <t>运</t>
    </r>
    <r>
      <rPr>
        <b/>
        <sz val="10"/>
        <rFont val="Yu Gothic UI"/>
        <family val="2"/>
        <charset val="128"/>
      </rPr>
      <t>行高度TH(m)</t>
    </r>
  </si>
  <si>
    <r>
      <rPr>
        <vertAlign val="subscript"/>
        <sz val="10"/>
        <rFont val="Yu Gothic UI"/>
        <family val="2"/>
        <charset val="128"/>
      </rPr>
      <t>速度(m/s)</t>
    </r>
    <r>
      <rPr>
        <vertAlign val="superscript"/>
        <sz val="10"/>
        <rFont val="黑体"/>
        <family val="3"/>
        <charset val="134"/>
      </rPr>
      <t>载</t>
    </r>
    <r>
      <rPr>
        <vertAlign val="superscript"/>
        <sz val="10"/>
        <rFont val="Yu Gothic UI"/>
        <family val="2"/>
        <charset val="128"/>
      </rPr>
      <t>重(kg)</t>
    </r>
  </si>
  <si>
    <r>
      <rPr>
        <sz val="10"/>
        <color theme="1"/>
        <rFont val="Yu Gothic UI"/>
        <family val="2"/>
        <charset val="128"/>
      </rPr>
      <t>此</t>
    </r>
    <r>
      <rPr>
        <sz val="10"/>
        <color theme="1"/>
        <rFont val="黑体"/>
        <family val="3"/>
        <charset val="134"/>
      </rPr>
      <t>值</t>
    </r>
    <r>
      <rPr>
        <sz val="10"/>
        <color theme="1"/>
        <rFont val="Yu Gothic UI"/>
        <family val="2"/>
        <charset val="128"/>
      </rPr>
      <t>影</t>
    </r>
    <r>
      <rPr>
        <sz val="10"/>
        <color theme="1"/>
        <rFont val="黑体"/>
        <family val="3"/>
        <charset val="134"/>
      </rPr>
      <t>响</t>
    </r>
    <r>
      <rPr>
        <sz val="10"/>
        <color theme="1"/>
        <rFont val="Yu Gothic UI"/>
        <family val="2"/>
        <charset val="128"/>
      </rPr>
      <t>配置，影</t>
    </r>
    <r>
      <rPr>
        <sz val="10"/>
        <color theme="1"/>
        <rFont val="黑体"/>
        <family val="3"/>
        <charset val="134"/>
      </rPr>
      <t>响处</t>
    </r>
    <r>
      <rPr>
        <sz val="10"/>
        <color theme="1"/>
        <rFont val="Yu Gothic UI"/>
        <family val="2"/>
        <charset val="128"/>
      </rPr>
      <t>文字</t>
    </r>
    <r>
      <rPr>
        <sz val="10"/>
        <color rgb="FF0070C0"/>
        <rFont val="黑体"/>
        <family val="3"/>
        <charset val="134"/>
      </rPr>
      <t>标蓝</t>
    </r>
  </si>
  <si>
    <r>
      <rPr>
        <sz val="10"/>
        <rFont val="Yu Gothic UI"/>
        <family val="2"/>
        <charset val="128"/>
      </rPr>
      <t>注：表格</t>
    </r>
    <r>
      <rPr>
        <sz val="10"/>
        <rFont val="黑体"/>
        <family val="3"/>
        <charset val="134"/>
      </rPr>
      <t>值为对应载</t>
    </r>
    <r>
      <rPr>
        <sz val="10"/>
        <rFont val="Yu Gothic UI"/>
        <family val="2"/>
        <charset val="128"/>
      </rPr>
      <t>重速度下的最大提升高度。</t>
    </r>
  </si>
  <si>
    <t>S2 速度是否在配置表内 va</t>
  </si>
  <si>
    <r>
      <rPr>
        <b/>
        <sz val="10"/>
        <rFont val="黑体"/>
        <family val="3"/>
        <charset val="134"/>
      </rPr>
      <t>额</t>
    </r>
    <r>
      <rPr>
        <b/>
        <sz val="10"/>
        <rFont val="Yu Gothic UI"/>
        <family val="2"/>
        <charset val="128"/>
      </rPr>
      <t>定速度v-</t>
    </r>
    <r>
      <rPr>
        <b/>
        <sz val="10"/>
        <rFont val="黑体"/>
        <family val="3"/>
        <charset val="134"/>
      </rPr>
      <t>标</t>
    </r>
    <r>
      <rPr>
        <b/>
        <sz val="10"/>
        <rFont val="Yu Gothic UI"/>
        <family val="2"/>
        <charset val="128"/>
      </rPr>
      <t>准配置(m/s)</t>
    </r>
  </si>
  <si>
    <r>
      <rPr>
        <sz val="10"/>
        <rFont val="Yu Gothic UI"/>
        <family val="2"/>
        <charset val="128"/>
      </rPr>
      <t>注：TRUE表示配置表内</t>
    </r>
    <r>
      <rPr>
        <sz val="10"/>
        <rFont val="黑体"/>
        <family val="3"/>
        <charset val="134"/>
      </rPr>
      <t>该载</t>
    </r>
    <r>
      <rPr>
        <sz val="10"/>
        <rFont val="Yu Gothic UI"/>
        <family val="2"/>
        <charset val="128"/>
      </rPr>
      <t>重、速度有配置，FALSE</t>
    </r>
    <r>
      <rPr>
        <sz val="10"/>
        <rFont val="黑体"/>
        <family val="3"/>
        <charset val="134"/>
      </rPr>
      <t>则</t>
    </r>
    <r>
      <rPr>
        <sz val="10"/>
        <rFont val="Yu Gothic UI"/>
        <family val="2"/>
        <charset val="128"/>
      </rPr>
      <t>无</t>
    </r>
    <r>
      <rPr>
        <sz val="10"/>
        <rFont val="黑体"/>
        <family val="3"/>
        <charset val="134"/>
      </rPr>
      <t>该</t>
    </r>
    <r>
      <rPr>
        <sz val="10"/>
        <rFont val="Yu Gothic UI"/>
        <family val="2"/>
        <charset val="128"/>
      </rPr>
      <t>配置。</t>
    </r>
  </si>
  <si>
    <r>
      <rPr>
        <b/>
        <sz val="10"/>
        <rFont val="Yu Gothic UI"/>
        <family val="2"/>
        <charset val="128"/>
      </rPr>
      <t xml:space="preserve">S3 </t>
    </r>
    <r>
      <rPr>
        <b/>
        <sz val="10"/>
        <rFont val="黑体"/>
        <family val="3"/>
        <charset val="134"/>
      </rPr>
      <t>轿厢宽</t>
    </r>
    <r>
      <rPr>
        <b/>
        <sz val="10"/>
        <rFont val="Yu Gothic UI"/>
        <family val="2"/>
        <charset val="128"/>
      </rPr>
      <t>度CW(mm)</t>
    </r>
  </si>
  <si>
    <r>
      <rPr>
        <vertAlign val="subscript"/>
        <sz val="10"/>
        <rFont val="Yu Gothic UI"/>
        <family val="2"/>
        <charset val="128"/>
      </rPr>
      <t xml:space="preserve">CWT       </t>
    </r>
    <r>
      <rPr>
        <vertAlign val="superscript"/>
        <sz val="10"/>
        <rFont val="黑体"/>
        <family val="3"/>
        <charset val="134"/>
      </rPr>
      <t>载</t>
    </r>
    <r>
      <rPr>
        <vertAlign val="superscript"/>
        <sz val="10"/>
        <rFont val="Yu Gothic UI"/>
        <family val="2"/>
        <charset val="128"/>
      </rPr>
      <t>重(kg)</t>
    </r>
  </si>
  <si>
    <r>
      <rPr>
        <b/>
        <sz val="10"/>
        <rFont val="Yu Gothic UI"/>
        <family val="2"/>
        <charset val="128"/>
      </rPr>
      <t xml:space="preserve">S4 </t>
    </r>
    <r>
      <rPr>
        <b/>
        <sz val="10"/>
        <rFont val="黑体"/>
        <family val="3"/>
        <charset val="134"/>
      </rPr>
      <t>轿厢</t>
    </r>
    <r>
      <rPr>
        <b/>
        <sz val="10"/>
        <rFont val="Yu Gothic UI"/>
        <family val="2"/>
        <charset val="128"/>
      </rPr>
      <t>深度CD(mm)</t>
    </r>
  </si>
  <si>
    <r>
      <rPr>
        <b/>
        <sz val="10"/>
        <rFont val="黑体"/>
        <family val="3"/>
        <charset val="134"/>
      </rPr>
      <t>运</t>
    </r>
    <r>
      <rPr>
        <b/>
        <sz val="10"/>
        <rFont val="Yu Gothic UI"/>
        <family val="2"/>
        <charset val="128"/>
      </rPr>
      <t>行高度TH-</t>
    </r>
    <r>
      <rPr>
        <b/>
        <sz val="10"/>
        <rFont val="黑体"/>
        <family val="3"/>
        <charset val="134"/>
      </rPr>
      <t>标</t>
    </r>
    <r>
      <rPr>
        <b/>
        <sz val="10"/>
        <rFont val="Yu Gothic UI"/>
        <family val="2"/>
        <charset val="128"/>
      </rPr>
      <t>准配置(m)</t>
    </r>
  </si>
  <si>
    <r>
      <rPr>
        <b/>
        <sz val="10"/>
        <rFont val="Yu Gothic UI"/>
        <family val="2"/>
        <charset val="128"/>
      </rPr>
      <t xml:space="preserve">S5 </t>
    </r>
    <r>
      <rPr>
        <b/>
        <sz val="10"/>
        <rFont val="黑体"/>
        <family val="3"/>
        <charset val="134"/>
      </rPr>
      <t>门宽</t>
    </r>
    <r>
      <rPr>
        <b/>
        <sz val="10"/>
        <rFont val="Yu Gothic UI"/>
        <family val="2"/>
        <charset val="128"/>
      </rPr>
      <t>DW(mm)</t>
    </r>
  </si>
  <si>
    <r>
      <rPr>
        <b/>
        <sz val="10"/>
        <rFont val="Yu Gothic UI"/>
        <family val="2"/>
        <charset val="128"/>
      </rPr>
      <t>S6 井道</t>
    </r>
    <r>
      <rPr>
        <b/>
        <sz val="10"/>
        <rFont val="黑体"/>
        <family val="3"/>
        <charset val="134"/>
      </rPr>
      <t>宽</t>
    </r>
    <r>
      <rPr>
        <b/>
        <sz val="10"/>
        <rFont val="Yu Gothic UI"/>
        <family val="2"/>
        <charset val="128"/>
      </rPr>
      <t>度SW(mm)</t>
    </r>
  </si>
  <si>
    <r>
      <rPr>
        <b/>
        <sz val="10"/>
        <rFont val="Yu Gothic UI"/>
        <family val="2"/>
        <charset val="128"/>
      </rPr>
      <t>S6 井道</t>
    </r>
    <r>
      <rPr>
        <b/>
        <sz val="10"/>
        <rFont val="宋体"/>
        <family val="3"/>
        <charset val="134"/>
      </rPr>
      <t>宽</t>
    </r>
    <r>
      <rPr>
        <b/>
        <sz val="10"/>
        <rFont val="Yu Gothic UI"/>
        <family val="2"/>
        <charset val="128"/>
      </rPr>
      <t>度SW(mm)</t>
    </r>
  </si>
  <si>
    <r>
      <rPr>
        <b/>
        <sz val="10"/>
        <rFont val="黑体"/>
        <family val="3"/>
        <charset val="134"/>
      </rPr>
      <t>轿厢</t>
    </r>
    <r>
      <rPr>
        <b/>
        <sz val="10"/>
        <rFont val="Yu Gothic UI"/>
        <family val="2"/>
        <charset val="128"/>
      </rPr>
      <t>高度 CH-</t>
    </r>
    <r>
      <rPr>
        <b/>
        <sz val="10"/>
        <rFont val="黑体"/>
        <family val="3"/>
        <charset val="134"/>
      </rPr>
      <t>标</t>
    </r>
    <r>
      <rPr>
        <b/>
        <sz val="10"/>
        <rFont val="Yu Gothic UI"/>
        <family val="2"/>
        <charset val="128"/>
      </rPr>
      <t>准配置(mm)</t>
    </r>
  </si>
  <si>
    <t>S7 井道深度SD(mm)</t>
  </si>
  <si>
    <t>S8 主机型号M</t>
  </si>
  <si>
    <r>
      <rPr>
        <vertAlign val="subscript"/>
        <sz val="10"/>
        <rFont val="Yu Gothic UI"/>
        <family val="2"/>
        <charset val="128"/>
      </rPr>
      <t xml:space="preserve">速度(m/s) </t>
    </r>
    <r>
      <rPr>
        <vertAlign val="superscript"/>
        <sz val="10"/>
        <rFont val="黑体"/>
        <family val="3"/>
        <charset val="134"/>
      </rPr>
      <t>载</t>
    </r>
    <r>
      <rPr>
        <vertAlign val="superscript"/>
        <sz val="10"/>
        <rFont val="Yu Gothic UI"/>
        <family val="2"/>
        <charset val="128"/>
      </rPr>
      <t>重(kg)</t>
    </r>
  </si>
  <si>
    <t>WTD2-P</t>
  </si>
  <si>
    <t>GETM3.2DS</t>
  </si>
  <si>
    <t>GETM5.0D-S</t>
  </si>
  <si>
    <t>WT2</t>
  </si>
  <si>
    <r>
      <rPr>
        <b/>
        <sz val="10"/>
        <rFont val="Yu Gothic UI"/>
        <family val="2"/>
        <charset val="128"/>
      </rPr>
      <t xml:space="preserve">S9 </t>
    </r>
    <r>
      <rPr>
        <b/>
        <sz val="10"/>
        <rFont val="黑体"/>
        <family val="3"/>
        <charset val="134"/>
      </rPr>
      <t>对</t>
    </r>
    <r>
      <rPr>
        <b/>
        <sz val="10"/>
        <rFont val="Yu Gothic UI"/>
        <family val="2"/>
        <charset val="128"/>
      </rPr>
      <t>重</t>
    </r>
    <r>
      <rPr>
        <b/>
        <sz val="10"/>
        <rFont val="黑体"/>
        <family val="3"/>
        <charset val="134"/>
      </rPr>
      <t>导轨</t>
    </r>
    <r>
      <rPr>
        <b/>
        <sz val="10"/>
        <rFont val="Yu Gothic UI"/>
        <family val="2"/>
        <charset val="128"/>
      </rPr>
      <t>距CWG(mm)</t>
    </r>
  </si>
  <si>
    <r>
      <rPr>
        <b/>
        <sz val="10"/>
        <rFont val="Yu Gothic UI"/>
        <family val="2"/>
        <charset val="128"/>
      </rPr>
      <t xml:space="preserve">S10 </t>
    </r>
    <r>
      <rPr>
        <b/>
        <sz val="10"/>
        <rFont val="黑体"/>
        <family val="3"/>
        <charset val="134"/>
      </rPr>
      <t>对</t>
    </r>
    <r>
      <rPr>
        <b/>
        <sz val="10"/>
        <rFont val="Yu Gothic UI"/>
        <family val="2"/>
        <charset val="128"/>
      </rPr>
      <t>重反</t>
    </r>
    <r>
      <rPr>
        <b/>
        <sz val="10"/>
        <rFont val="黑体"/>
        <family val="3"/>
        <charset val="134"/>
      </rPr>
      <t>绳轮</t>
    </r>
    <r>
      <rPr>
        <b/>
        <sz val="10"/>
        <rFont val="Yu Gothic UI"/>
        <family val="2"/>
        <charset val="128"/>
      </rPr>
      <t>直径CWD(mm)</t>
    </r>
  </si>
  <si>
    <r>
      <rPr>
        <b/>
        <sz val="10"/>
        <rFont val="Yu Gothic UI"/>
        <family val="2"/>
        <charset val="128"/>
      </rPr>
      <t xml:space="preserve">S12 </t>
    </r>
    <r>
      <rPr>
        <b/>
        <sz val="10"/>
        <rFont val="TKTypeRegular"/>
        <family val="1"/>
      </rPr>
      <t>开门类</t>
    </r>
    <r>
      <rPr>
        <b/>
        <sz val="10"/>
        <rFont val="Yu Gothic UI"/>
        <family val="2"/>
        <charset val="128"/>
      </rPr>
      <t>型 DT</t>
    </r>
  </si>
  <si>
    <r>
      <rPr>
        <b/>
        <sz val="10"/>
        <rFont val="Yu Gothic UI"/>
        <family val="2"/>
        <charset val="128"/>
      </rPr>
      <t xml:space="preserve">S11 </t>
    </r>
    <r>
      <rPr>
        <b/>
        <sz val="10"/>
        <rFont val="黑体"/>
        <family val="3"/>
        <charset val="134"/>
      </rPr>
      <t>轿厢</t>
    </r>
    <r>
      <rPr>
        <b/>
        <sz val="10"/>
        <rFont val="Yu Gothic UI"/>
        <family val="2"/>
        <charset val="128"/>
      </rPr>
      <t>中心至机架</t>
    </r>
    <r>
      <rPr>
        <b/>
        <sz val="10"/>
        <rFont val="黑体"/>
        <family val="3"/>
        <charset val="134"/>
      </rPr>
      <t>边</t>
    </r>
    <r>
      <rPr>
        <b/>
        <sz val="10"/>
        <rFont val="Yu Gothic UI"/>
        <family val="2"/>
        <charset val="128"/>
      </rPr>
      <t>沿距</t>
    </r>
    <r>
      <rPr>
        <b/>
        <sz val="10"/>
        <rFont val="黑体"/>
        <family val="3"/>
        <charset val="134"/>
      </rPr>
      <t>离</t>
    </r>
    <r>
      <rPr>
        <b/>
        <sz val="10"/>
        <rFont val="Yu Gothic UI"/>
        <family val="2"/>
        <charset val="128"/>
      </rPr>
      <t>（大</t>
    </r>
    <r>
      <rPr>
        <b/>
        <sz val="10"/>
        <rFont val="黑体"/>
        <family val="3"/>
        <charset val="134"/>
      </rPr>
      <t>侧</t>
    </r>
    <r>
      <rPr>
        <b/>
        <sz val="10"/>
        <rFont val="Yu Gothic UI"/>
        <family val="2"/>
        <charset val="128"/>
      </rPr>
      <t>）MRD(mm)</t>
    </r>
  </si>
  <si>
    <t>全是C4</t>
  </si>
  <si>
    <r>
      <rPr>
        <sz val="10"/>
        <rFont val="Yu Gothic UI"/>
        <family val="2"/>
        <charset val="128"/>
      </rPr>
      <t>注：表中尺寸</t>
    </r>
    <r>
      <rPr>
        <sz val="10"/>
        <rFont val="黑体"/>
        <family val="3"/>
        <charset val="134"/>
      </rPr>
      <t>为</t>
    </r>
    <r>
      <rPr>
        <sz val="10"/>
        <rFont val="Yu Gothic UI"/>
        <family val="2"/>
        <charset val="128"/>
      </rPr>
      <t>保</t>
    </r>
    <r>
      <rPr>
        <sz val="10"/>
        <rFont val="黑体"/>
        <family val="3"/>
        <charset val="134"/>
      </rPr>
      <t>证</t>
    </r>
    <r>
      <rPr>
        <sz val="10"/>
        <rFont val="Yu Gothic UI"/>
        <family val="2"/>
        <charset val="128"/>
      </rPr>
      <t>主机</t>
    </r>
    <r>
      <rPr>
        <sz val="10"/>
        <rFont val="黑体"/>
        <family val="3"/>
        <charset val="134"/>
      </rPr>
      <t>编码</t>
    </r>
    <r>
      <rPr>
        <sz val="10"/>
        <rFont val="Yu Gothic UI"/>
        <family val="2"/>
        <charset val="128"/>
      </rPr>
      <t>器有60mm</t>
    </r>
    <r>
      <rPr>
        <sz val="10"/>
        <rFont val="黑体"/>
        <family val="3"/>
        <charset val="134"/>
      </rPr>
      <t>检</t>
    </r>
    <r>
      <rPr>
        <sz val="10"/>
        <rFont val="Yu Gothic UI"/>
        <family val="2"/>
        <charset val="128"/>
      </rPr>
      <t>修空</t>
    </r>
    <r>
      <rPr>
        <sz val="10"/>
        <rFont val="黑体"/>
        <family val="3"/>
        <charset val="134"/>
      </rPr>
      <t>间</t>
    </r>
    <r>
      <rPr>
        <sz val="10"/>
        <rFont val="Yu Gothic UI"/>
        <family val="2"/>
        <charset val="128"/>
      </rPr>
      <t>；</t>
    </r>
  </si>
  <si>
    <r>
      <rPr>
        <sz val="10"/>
        <rFont val="Yu Gothic UI"/>
        <family val="2"/>
        <charset val="128"/>
      </rPr>
      <t>注：表中尺寸</t>
    </r>
    <r>
      <rPr>
        <sz val="10"/>
        <rFont val="黑体"/>
        <family val="3"/>
        <charset val="134"/>
      </rPr>
      <t>为</t>
    </r>
    <r>
      <rPr>
        <sz val="10"/>
        <rFont val="Yu Gothic UI"/>
        <family val="2"/>
        <charset val="128"/>
      </rPr>
      <t>保</t>
    </r>
    <r>
      <rPr>
        <sz val="10"/>
        <rFont val="黑体"/>
        <family val="3"/>
        <charset val="134"/>
      </rPr>
      <t>证</t>
    </r>
    <r>
      <rPr>
        <sz val="10"/>
        <rFont val="Yu Gothic UI"/>
        <family val="2"/>
        <charset val="128"/>
      </rPr>
      <t>主机</t>
    </r>
    <r>
      <rPr>
        <sz val="10"/>
        <rFont val="黑体"/>
        <family val="3"/>
        <charset val="134"/>
      </rPr>
      <t>编码</t>
    </r>
    <r>
      <rPr>
        <sz val="10"/>
        <rFont val="Yu Gothic UI"/>
        <family val="2"/>
        <charset val="128"/>
      </rPr>
      <t>器有120mm</t>
    </r>
    <r>
      <rPr>
        <sz val="10"/>
        <rFont val="黑体"/>
        <family val="3"/>
        <charset val="134"/>
      </rPr>
      <t>检</t>
    </r>
    <r>
      <rPr>
        <sz val="10"/>
        <rFont val="Yu Gothic UI"/>
        <family val="2"/>
        <charset val="128"/>
      </rPr>
      <t>修空</t>
    </r>
    <r>
      <rPr>
        <sz val="10"/>
        <rFont val="黑体"/>
        <family val="3"/>
        <charset val="134"/>
      </rPr>
      <t>间</t>
    </r>
    <r>
      <rPr>
        <sz val="10"/>
        <rFont val="Yu Gothic UI"/>
        <family val="2"/>
        <charset val="128"/>
      </rPr>
      <t>；</t>
    </r>
  </si>
  <si>
    <r>
      <rPr>
        <b/>
        <sz val="10"/>
        <rFont val="Yu Gothic UI"/>
        <family val="2"/>
        <charset val="128"/>
      </rPr>
      <t xml:space="preserve">S13 </t>
    </r>
    <r>
      <rPr>
        <b/>
        <sz val="10"/>
        <rFont val="TKTypeRegular"/>
        <family val="1"/>
      </rPr>
      <t>门</t>
    </r>
    <r>
      <rPr>
        <b/>
        <sz val="10"/>
        <rFont val="Yu Gothic UI"/>
        <family val="2"/>
        <charset val="128"/>
      </rPr>
      <t>要求居中 DC</t>
    </r>
  </si>
  <si>
    <t>全是0</t>
  </si>
  <si>
    <r>
      <rPr>
        <b/>
        <sz val="10"/>
        <rFont val="Yu Gothic UI"/>
        <family val="2"/>
        <charset val="128"/>
      </rPr>
      <t xml:space="preserve">S14 </t>
    </r>
    <r>
      <rPr>
        <b/>
        <sz val="10"/>
        <rFont val="黑体"/>
        <family val="3"/>
        <charset val="134"/>
      </rPr>
      <t>顶层</t>
    </r>
    <r>
      <rPr>
        <b/>
        <sz val="10"/>
        <rFont val="Yu Gothic UI"/>
        <family val="2"/>
        <charset val="128"/>
      </rPr>
      <t>高度SH(mm)</t>
    </r>
  </si>
  <si>
    <r>
      <rPr>
        <sz val="10"/>
        <color theme="0" tint="-0.499984740745262"/>
        <rFont val="宋体"/>
        <family val="3"/>
        <charset val="134"/>
      </rPr>
      <t>对</t>
    </r>
    <r>
      <rPr>
        <sz val="10"/>
        <color theme="0" tint="-0.499984740745262"/>
        <rFont val="Yu Gothic UI"/>
        <family val="2"/>
        <charset val="128"/>
      </rPr>
      <t>重位置</t>
    </r>
  </si>
  <si>
    <t>S15 底坑深度SP(mm)</t>
  </si>
  <si>
    <t>T1 井道偏差 ST</t>
  </si>
  <si>
    <r>
      <rPr>
        <sz val="10"/>
        <color theme="1"/>
        <rFont val="微软雅黑"/>
        <family val="2"/>
        <charset val="134"/>
      </rPr>
      <t>运</t>
    </r>
    <r>
      <rPr>
        <sz val="10"/>
        <color theme="1"/>
        <rFont val="Yu Gothic UI"/>
        <family val="2"/>
        <charset val="128"/>
      </rPr>
      <t>行高度TH</t>
    </r>
  </si>
  <si>
    <r>
      <rPr>
        <sz val="10"/>
        <color theme="1"/>
        <rFont val="Yu Gothic UI"/>
        <family val="2"/>
        <charset val="128"/>
      </rPr>
      <t>TH</t>
    </r>
    <r>
      <rPr>
        <sz val="10"/>
        <color theme="1"/>
        <rFont val="宋体"/>
        <family val="3"/>
        <charset val="134"/>
      </rPr>
      <t>≤</t>
    </r>
    <r>
      <rPr>
        <sz val="10"/>
        <color theme="1"/>
        <rFont val="Yu Gothic UI"/>
        <family val="2"/>
        <charset val="128"/>
      </rPr>
      <t>50</t>
    </r>
  </si>
  <si>
    <r>
      <rPr>
        <sz val="10"/>
        <color theme="1"/>
        <rFont val="Yu Gothic UI"/>
        <family val="2"/>
        <charset val="128"/>
      </rPr>
      <t>TH</t>
    </r>
    <r>
      <rPr>
        <sz val="10"/>
        <color theme="1"/>
        <rFont val="宋体"/>
        <family val="3"/>
        <charset val="134"/>
      </rPr>
      <t>≤</t>
    </r>
    <r>
      <rPr>
        <sz val="10"/>
        <color theme="1"/>
        <rFont val="Yu Gothic UI"/>
        <family val="2"/>
        <charset val="128"/>
      </rPr>
      <t>125</t>
    </r>
  </si>
  <si>
    <r>
      <rPr>
        <sz val="10"/>
        <color theme="1"/>
        <rFont val="Yu Gothic UI"/>
        <family val="2"/>
        <charset val="128"/>
      </rPr>
      <t>125&lt;TH</t>
    </r>
  </si>
  <si>
    <t>Well to do</t>
  </si>
  <si>
    <r>
      <rPr>
        <b/>
        <sz val="10"/>
        <rFont val="Yu Gothic UI"/>
        <family val="2"/>
        <charset val="128"/>
      </rPr>
      <t xml:space="preserve">T2 </t>
    </r>
    <r>
      <rPr>
        <b/>
        <sz val="10"/>
        <rFont val="微软雅黑"/>
        <family val="2"/>
        <charset val="134"/>
      </rPr>
      <t>门</t>
    </r>
    <r>
      <rPr>
        <b/>
        <sz val="10"/>
        <rFont val="Yu Gothic UI"/>
        <family val="2"/>
        <charset val="128"/>
      </rPr>
      <t>品牌 DN</t>
    </r>
  </si>
  <si>
    <r>
      <rPr>
        <vertAlign val="subscript"/>
        <sz val="10"/>
        <color theme="1"/>
        <rFont val="微软雅黑"/>
        <family val="2"/>
        <charset val="134"/>
      </rPr>
      <t>开门类</t>
    </r>
    <r>
      <rPr>
        <vertAlign val="subscript"/>
        <sz val="10"/>
        <color theme="1"/>
        <rFont val="Yu Gothic UI"/>
        <family val="2"/>
        <charset val="128"/>
      </rPr>
      <t>型</t>
    </r>
    <r>
      <rPr>
        <sz val="10"/>
        <color theme="1"/>
        <rFont val="Yu Gothic UI"/>
        <family val="2"/>
        <charset val="128"/>
      </rPr>
      <t xml:space="preserve">              </t>
    </r>
    <r>
      <rPr>
        <vertAlign val="superscript"/>
        <sz val="10"/>
        <color theme="1"/>
        <rFont val="Yu Gothic UI"/>
        <family val="2"/>
        <charset val="128"/>
      </rPr>
      <t>是否 梯</t>
    </r>
  </si>
  <si>
    <r>
      <rPr>
        <b/>
        <sz val="10"/>
        <rFont val="Yu Gothic UI"/>
        <family val="2"/>
        <charset val="128"/>
      </rPr>
      <t xml:space="preserve">T3 </t>
    </r>
    <r>
      <rPr>
        <b/>
        <sz val="10"/>
        <rFont val="微软雅黑"/>
        <family val="2"/>
        <charset val="134"/>
      </rPr>
      <t>轿厢</t>
    </r>
    <r>
      <rPr>
        <b/>
        <sz val="10"/>
        <rFont val="Yu Gothic UI"/>
        <family val="2"/>
        <charset val="128"/>
      </rPr>
      <t>入口面</t>
    </r>
    <r>
      <rPr>
        <b/>
        <sz val="10"/>
        <rFont val="微软雅黑"/>
        <family val="2"/>
        <charset val="134"/>
      </rPr>
      <t>积</t>
    </r>
    <r>
      <rPr>
        <b/>
        <sz val="10"/>
        <rFont val="Yu Gothic UI"/>
        <family val="2"/>
        <charset val="128"/>
      </rPr>
      <t>系数 FD-X1(mm)</t>
    </r>
  </si>
  <si>
    <r>
      <rPr>
        <sz val="10"/>
        <rFont val="Yu Gothic UI"/>
        <family val="2"/>
        <charset val="128"/>
      </rPr>
      <t>不</t>
    </r>
    <r>
      <rPr>
        <sz val="10"/>
        <rFont val="宋体"/>
        <family val="3"/>
        <charset val="134"/>
      </rPr>
      <t>开</t>
    </r>
    <r>
      <rPr>
        <sz val="10"/>
        <rFont val="Yu Gothic UI"/>
        <family val="2"/>
        <charset val="128"/>
      </rPr>
      <t>尽</t>
    </r>
    <r>
      <rPr>
        <sz val="10"/>
        <rFont val="宋体"/>
        <family val="3"/>
        <charset val="134"/>
      </rPr>
      <t>门</t>
    </r>
  </si>
  <si>
    <r>
      <rPr>
        <sz val="10"/>
        <rFont val="宋体"/>
        <family val="3"/>
        <charset val="134"/>
      </rPr>
      <t>开</t>
    </r>
    <r>
      <rPr>
        <sz val="10"/>
        <rFont val="Yu Gothic UI"/>
        <family val="2"/>
        <charset val="128"/>
      </rPr>
      <t>尽</t>
    </r>
    <r>
      <rPr>
        <sz val="10"/>
        <rFont val="宋体"/>
        <family val="3"/>
        <charset val="134"/>
      </rPr>
      <t>门</t>
    </r>
  </si>
  <si>
    <t>WINONE</t>
  </si>
  <si>
    <r>
      <rPr>
        <sz val="10"/>
        <rFont val="Yu Gothic UI"/>
        <family val="2"/>
        <charset val="128"/>
      </rPr>
      <t>展</t>
    </r>
    <r>
      <rPr>
        <sz val="10"/>
        <rFont val="宋体"/>
        <family val="3"/>
        <charset val="134"/>
      </rPr>
      <t>鹏</t>
    </r>
  </si>
  <si>
    <t>S3</t>
  </si>
  <si>
    <t>威特</t>
  </si>
  <si>
    <r>
      <rPr>
        <b/>
        <sz val="10"/>
        <rFont val="Yu Gothic UI"/>
        <family val="2"/>
        <charset val="128"/>
      </rPr>
      <t>T4 EN81-1最大、最小有效面</t>
    </r>
    <r>
      <rPr>
        <b/>
        <sz val="10"/>
        <rFont val="微软雅黑"/>
        <family val="2"/>
        <charset val="134"/>
      </rPr>
      <t>积</t>
    </r>
    <r>
      <rPr>
        <b/>
        <sz val="10"/>
        <rFont val="Yu Gothic UI"/>
        <family val="2"/>
        <charset val="128"/>
      </rPr>
      <t>(m</t>
    </r>
    <r>
      <rPr>
        <b/>
        <vertAlign val="superscript"/>
        <sz val="10"/>
        <rFont val="Yu Gothic UI"/>
        <family val="2"/>
        <charset val="128"/>
      </rPr>
      <t>2</t>
    </r>
    <r>
      <rPr>
        <b/>
        <sz val="10"/>
        <rFont val="Yu Gothic UI"/>
        <family val="2"/>
        <charset val="128"/>
      </rPr>
      <t xml:space="preserve">) </t>
    </r>
  </si>
  <si>
    <r>
      <rPr>
        <b/>
        <sz val="10"/>
        <rFont val="微软雅黑"/>
        <family val="2"/>
        <charset val="134"/>
      </rPr>
      <t>标</t>
    </r>
    <r>
      <rPr>
        <b/>
        <sz val="10"/>
        <rFont val="Yu Gothic UI"/>
        <family val="2"/>
        <charset val="128"/>
      </rPr>
      <t>准</t>
    </r>
    <r>
      <rPr>
        <b/>
        <sz val="10"/>
        <rFont val="微软雅黑"/>
        <family val="2"/>
        <charset val="134"/>
      </rPr>
      <t>载</t>
    </r>
    <r>
      <rPr>
        <b/>
        <sz val="10"/>
        <rFont val="Yu Gothic UI"/>
        <family val="2"/>
        <charset val="128"/>
      </rPr>
      <t>重配置</t>
    </r>
  </si>
  <si>
    <r>
      <rPr>
        <sz val="10"/>
        <rFont val="微软雅黑"/>
        <family val="2"/>
        <charset val="134"/>
      </rPr>
      <t>额</t>
    </r>
    <r>
      <rPr>
        <sz val="10"/>
        <rFont val="Yu Gothic UI"/>
        <family val="2"/>
        <charset val="128"/>
      </rPr>
      <t>定</t>
    </r>
    <r>
      <rPr>
        <sz val="10"/>
        <rFont val="微软雅黑"/>
        <family val="2"/>
        <charset val="134"/>
      </rPr>
      <t>载</t>
    </r>
    <r>
      <rPr>
        <sz val="10"/>
        <rFont val="Yu Gothic UI"/>
        <family val="2"/>
        <charset val="128"/>
      </rPr>
      <t>重Q(kg)</t>
    </r>
  </si>
  <si>
    <r>
      <rPr>
        <sz val="10"/>
        <rFont val="Yu Gothic UI"/>
        <family val="2"/>
        <charset val="128"/>
      </rPr>
      <t>最大有效面</t>
    </r>
    <r>
      <rPr>
        <sz val="10"/>
        <rFont val="微软雅黑"/>
        <family val="2"/>
        <charset val="134"/>
      </rPr>
      <t>积</t>
    </r>
    <r>
      <rPr>
        <sz val="10"/>
        <rFont val="Yu Gothic UI"/>
        <family val="2"/>
        <charset val="128"/>
      </rPr>
      <t>Amax</t>
    </r>
  </si>
  <si>
    <t>乘客人数</t>
  </si>
  <si>
    <r>
      <rPr>
        <sz val="10"/>
        <rFont val="Yu Gothic UI"/>
        <family val="2"/>
        <charset val="128"/>
      </rPr>
      <t>最小有效面</t>
    </r>
    <r>
      <rPr>
        <sz val="10"/>
        <rFont val="微软雅黑"/>
        <family val="2"/>
        <charset val="134"/>
      </rPr>
      <t>积</t>
    </r>
    <r>
      <rPr>
        <sz val="10"/>
        <rFont val="Yu Gothic UI"/>
        <family val="2"/>
        <charset val="128"/>
      </rPr>
      <t>Amin</t>
    </r>
  </si>
  <si>
    <r>
      <rPr>
        <sz val="10"/>
        <rFont val="Yu Gothic UI"/>
        <family val="2"/>
        <charset val="128"/>
      </rPr>
      <t>注：1.</t>
    </r>
    <r>
      <rPr>
        <sz val="10"/>
        <rFont val="微软雅黑"/>
        <family val="2"/>
        <charset val="134"/>
      </rPr>
      <t>额</t>
    </r>
    <r>
      <rPr>
        <sz val="10"/>
        <rFont val="Yu Gothic UI"/>
        <family val="2"/>
        <charset val="128"/>
      </rPr>
      <t>定</t>
    </r>
    <r>
      <rPr>
        <sz val="10"/>
        <rFont val="微软雅黑"/>
        <family val="2"/>
        <charset val="134"/>
      </rPr>
      <t>载</t>
    </r>
    <r>
      <rPr>
        <sz val="10"/>
        <rFont val="Yu Gothic UI"/>
        <family val="2"/>
        <charset val="128"/>
      </rPr>
      <t>重量超</t>
    </r>
    <r>
      <rPr>
        <sz val="10"/>
        <rFont val="微软雅黑"/>
        <family val="2"/>
        <charset val="134"/>
      </rPr>
      <t>过</t>
    </r>
    <r>
      <rPr>
        <sz val="10"/>
        <rFont val="Yu Gothic UI"/>
        <family val="2"/>
        <charset val="128"/>
      </rPr>
      <t>2500kg</t>
    </r>
    <r>
      <rPr>
        <sz val="10"/>
        <rFont val="微软雅黑"/>
        <family val="2"/>
        <charset val="134"/>
      </rPr>
      <t>时</t>
    </r>
    <r>
      <rPr>
        <sz val="10"/>
        <rFont val="Yu Gothic UI"/>
        <family val="2"/>
        <charset val="128"/>
      </rPr>
      <t>，</t>
    </r>
    <r>
      <rPr>
        <sz val="10"/>
        <rFont val="微软雅黑"/>
        <family val="2"/>
        <charset val="134"/>
      </rPr>
      <t>每</t>
    </r>
    <r>
      <rPr>
        <sz val="10"/>
        <rFont val="Yu Gothic UI"/>
        <family val="2"/>
        <charset val="128"/>
      </rPr>
      <t>增加100kg，面</t>
    </r>
    <r>
      <rPr>
        <sz val="10"/>
        <rFont val="微软雅黑"/>
        <family val="2"/>
        <charset val="134"/>
      </rPr>
      <t>积</t>
    </r>
    <r>
      <rPr>
        <sz val="10"/>
        <rFont val="Yu Gothic UI"/>
        <family val="2"/>
        <charset val="128"/>
      </rPr>
      <t>增加0.16；</t>
    </r>
    <r>
      <rPr>
        <sz val="10"/>
        <rFont val="微软雅黑"/>
        <family val="2"/>
        <charset val="134"/>
      </rPr>
      <t>对</t>
    </r>
    <r>
      <rPr>
        <sz val="10"/>
        <rFont val="Yu Gothic UI"/>
        <family val="2"/>
        <charset val="128"/>
      </rPr>
      <t>中</t>
    </r>
    <r>
      <rPr>
        <sz val="10"/>
        <rFont val="微软雅黑"/>
        <family val="2"/>
        <charset val="134"/>
      </rPr>
      <t>间</t>
    </r>
    <r>
      <rPr>
        <sz val="10"/>
        <rFont val="Yu Gothic UI"/>
        <family val="2"/>
        <charset val="128"/>
      </rPr>
      <t>的</t>
    </r>
    <r>
      <rPr>
        <sz val="10"/>
        <rFont val="微软雅黑"/>
        <family val="2"/>
        <charset val="134"/>
      </rPr>
      <t>载</t>
    </r>
    <r>
      <rPr>
        <sz val="10"/>
        <rFont val="Yu Gothic UI"/>
        <family val="2"/>
        <charset val="128"/>
      </rPr>
      <t>重量，其面</t>
    </r>
    <r>
      <rPr>
        <sz val="10"/>
        <rFont val="微软雅黑"/>
        <family val="2"/>
        <charset val="134"/>
      </rPr>
      <t>积</t>
    </r>
    <r>
      <rPr>
        <sz val="10"/>
        <rFont val="Yu Gothic UI"/>
        <family val="2"/>
        <charset val="128"/>
      </rPr>
      <t>由</t>
    </r>
    <r>
      <rPr>
        <sz val="10"/>
        <rFont val="微软雅黑"/>
        <family val="2"/>
        <charset val="134"/>
      </rPr>
      <t>线</t>
    </r>
    <r>
      <rPr>
        <sz val="10"/>
        <rFont val="Yu Gothic UI"/>
        <family val="2"/>
        <charset val="128"/>
      </rPr>
      <t>性插</t>
    </r>
    <r>
      <rPr>
        <sz val="10"/>
        <rFont val="微软雅黑"/>
        <family val="2"/>
        <charset val="134"/>
      </rPr>
      <t>值</t>
    </r>
    <r>
      <rPr>
        <sz val="10"/>
        <rFont val="Yu Gothic UI"/>
        <family val="2"/>
        <charset val="128"/>
      </rPr>
      <t>法</t>
    </r>
    <r>
      <rPr>
        <sz val="10"/>
        <rFont val="微软雅黑"/>
        <family val="2"/>
        <charset val="134"/>
      </rPr>
      <t>确</t>
    </r>
    <r>
      <rPr>
        <sz val="10"/>
        <rFont val="Yu Gothic UI"/>
        <family val="2"/>
        <charset val="128"/>
      </rPr>
      <t>定；
2.乘客人数按公式(</t>
    </r>
    <r>
      <rPr>
        <sz val="10"/>
        <rFont val="微软雅黑"/>
        <family val="2"/>
        <charset val="134"/>
      </rPr>
      <t>额</t>
    </r>
    <r>
      <rPr>
        <sz val="10"/>
        <rFont val="Yu Gothic UI"/>
        <family val="2"/>
        <charset val="128"/>
      </rPr>
      <t>定</t>
    </r>
    <r>
      <rPr>
        <sz val="10"/>
        <rFont val="微软雅黑"/>
        <family val="2"/>
        <charset val="134"/>
      </rPr>
      <t>载</t>
    </r>
    <r>
      <rPr>
        <sz val="10"/>
        <rFont val="Yu Gothic UI"/>
        <family val="2"/>
        <charset val="128"/>
      </rPr>
      <t>重量/75)</t>
    </r>
    <r>
      <rPr>
        <sz val="10"/>
        <rFont val="微软雅黑"/>
        <family val="2"/>
        <charset val="134"/>
      </rPr>
      <t>计</t>
    </r>
    <r>
      <rPr>
        <sz val="10"/>
        <rFont val="Yu Gothic UI"/>
        <family val="2"/>
        <charset val="128"/>
      </rPr>
      <t>算，</t>
    </r>
    <r>
      <rPr>
        <sz val="10"/>
        <rFont val="微软雅黑"/>
        <family val="2"/>
        <charset val="134"/>
      </rPr>
      <t>计</t>
    </r>
    <r>
      <rPr>
        <sz val="10"/>
        <rFont val="Yu Gothic UI"/>
        <family val="2"/>
        <charset val="128"/>
      </rPr>
      <t>算</t>
    </r>
    <r>
      <rPr>
        <sz val="10"/>
        <rFont val="微软雅黑"/>
        <family val="2"/>
        <charset val="134"/>
      </rPr>
      <t>结</t>
    </r>
    <r>
      <rPr>
        <sz val="10"/>
        <rFont val="Yu Gothic UI"/>
        <family val="2"/>
        <charset val="128"/>
      </rPr>
      <t>果向下</t>
    </r>
    <r>
      <rPr>
        <sz val="10"/>
        <rFont val="微软雅黑"/>
        <family val="2"/>
        <charset val="134"/>
      </rPr>
      <t>圆</t>
    </r>
    <r>
      <rPr>
        <sz val="10"/>
        <rFont val="Yu Gothic UI"/>
        <family val="2"/>
        <charset val="128"/>
      </rPr>
      <t>整到最近的整数；乘客人数超</t>
    </r>
    <r>
      <rPr>
        <sz val="10"/>
        <rFont val="微软雅黑"/>
        <family val="2"/>
        <charset val="134"/>
      </rPr>
      <t>过</t>
    </r>
    <r>
      <rPr>
        <sz val="10"/>
        <rFont val="Yu Gothic UI"/>
        <family val="2"/>
        <charset val="128"/>
      </rPr>
      <t>20人</t>
    </r>
    <r>
      <rPr>
        <sz val="10"/>
        <rFont val="微软雅黑"/>
        <family val="2"/>
        <charset val="134"/>
      </rPr>
      <t>时</t>
    </r>
    <r>
      <rPr>
        <sz val="10"/>
        <rFont val="Yu Gothic UI"/>
        <family val="2"/>
        <charset val="128"/>
      </rPr>
      <t>，</t>
    </r>
    <r>
      <rPr>
        <sz val="10"/>
        <rFont val="微软雅黑"/>
        <family val="2"/>
        <charset val="134"/>
      </rPr>
      <t>每</t>
    </r>
    <r>
      <rPr>
        <sz val="10"/>
        <rFont val="Yu Gothic UI"/>
        <family val="2"/>
        <charset val="128"/>
      </rPr>
      <t>增加1人，增加0.115。</t>
    </r>
  </si>
  <si>
    <r>
      <rPr>
        <b/>
        <sz val="9"/>
        <rFont val="Yu Gothic UI"/>
        <family val="2"/>
        <charset val="128"/>
      </rPr>
      <t xml:space="preserve">T3 </t>
    </r>
    <r>
      <rPr>
        <b/>
        <sz val="9"/>
        <rFont val="黑体"/>
        <family val="3"/>
        <charset val="134"/>
      </rPr>
      <t>厅门</t>
    </r>
    <r>
      <rPr>
        <b/>
        <sz val="9"/>
        <rFont val="Yu Gothic UI"/>
        <family val="2"/>
        <charset val="128"/>
      </rPr>
      <t>安装尺寸 DS(mm)</t>
    </r>
  </si>
  <si>
    <t>2 panel central opening</t>
  </si>
  <si>
    <t>2 panel side opening</t>
  </si>
  <si>
    <t>4 panel central opening</t>
  </si>
  <si>
    <t>3 panel side opening</t>
  </si>
  <si>
    <t>6 panel central opening</t>
  </si>
  <si>
    <r>
      <rPr>
        <b/>
        <sz val="10"/>
        <rFont val="Yu Gothic UI"/>
        <family val="2"/>
        <charset val="128"/>
      </rPr>
      <t xml:space="preserve">T4 </t>
    </r>
    <r>
      <rPr>
        <b/>
        <sz val="10"/>
        <rFont val="黑体"/>
        <family val="3"/>
        <charset val="134"/>
      </rPr>
      <t>轿厢</t>
    </r>
    <r>
      <rPr>
        <b/>
        <sz val="10"/>
        <rFont val="Yu Gothic UI"/>
        <family val="2"/>
        <charset val="128"/>
      </rPr>
      <t>入口深度 FD(mm)</t>
    </r>
  </si>
  <si>
    <r>
      <rPr>
        <sz val="10"/>
        <color theme="1"/>
        <rFont val="宋体"/>
        <family val="3"/>
        <charset val="134"/>
      </rPr>
      <t>门</t>
    </r>
    <r>
      <rPr>
        <sz val="10"/>
        <color theme="1"/>
        <rFont val="Yu Gothic UI"/>
        <family val="2"/>
        <charset val="128"/>
      </rPr>
      <t>机品牌</t>
    </r>
  </si>
  <si>
    <r>
      <rPr>
        <b/>
        <sz val="10"/>
        <color theme="1"/>
        <rFont val="Yu Gothic UI"/>
        <family val="2"/>
        <charset val="128"/>
      </rPr>
      <t>左</t>
    </r>
    <r>
      <rPr>
        <b/>
        <sz val="10"/>
        <color theme="1"/>
        <rFont val="宋体"/>
        <family val="3"/>
        <charset val="134"/>
      </rPr>
      <t>门头宽</t>
    </r>
    <r>
      <rPr>
        <b/>
        <sz val="10"/>
        <color theme="1"/>
        <rFont val="Yu Gothic UI"/>
        <family val="2"/>
        <charset val="128"/>
      </rPr>
      <t>度尺寸ΔW</t>
    </r>
  </si>
  <si>
    <r>
      <rPr>
        <b/>
        <sz val="10"/>
        <color theme="1"/>
        <rFont val="Yu Gothic UI"/>
        <family val="2"/>
        <charset val="128"/>
      </rPr>
      <t>右</t>
    </r>
    <r>
      <rPr>
        <b/>
        <sz val="10"/>
        <color theme="1"/>
        <rFont val="宋体"/>
        <family val="3"/>
        <charset val="134"/>
      </rPr>
      <t>门头宽</t>
    </r>
    <r>
      <rPr>
        <b/>
        <sz val="10"/>
        <color theme="1"/>
        <rFont val="Yu Gothic UI"/>
        <family val="2"/>
        <charset val="128"/>
      </rPr>
      <t>度尺寸ΔW'</t>
    </r>
  </si>
  <si>
    <r>
      <rPr>
        <b/>
        <sz val="10"/>
        <color theme="1"/>
        <rFont val="宋体"/>
        <family val="3"/>
        <charset val="134"/>
      </rPr>
      <t>轿厢</t>
    </r>
    <r>
      <rPr>
        <b/>
        <sz val="10"/>
        <color theme="1"/>
        <rFont val="Yu Gothic UI"/>
        <family val="2"/>
        <charset val="128"/>
      </rPr>
      <t>地坎</t>
    </r>
    <r>
      <rPr>
        <b/>
        <sz val="10"/>
        <color theme="1"/>
        <rFont val="宋体"/>
        <family val="3"/>
        <charset val="134"/>
      </rPr>
      <t>宽</t>
    </r>
    <r>
      <rPr>
        <b/>
        <sz val="10"/>
        <color theme="1"/>
        <rFont val="Yu Gothic UI"/>
        <family val="2"/>
        <charset val="128"/>
      </rPr>
      <t>度CDSW</t>
    </r>
  </si>
  <si>
    <r>
      <rPr>
        <sz val="10"/>
        <color theme="1"/>
        <rFont val="Yu Gothic UI"/>
        <family val="2"/>
        <charset val="128"/>
      </rPr>
      <t>展</t>
    </r>
    <r>
      <rPr>
        <sz val="10"/>
        <color theme="1"/>
        <rFont val="宋体"/>
        <family val="3"/>
        <charset val="134"/>
      </rPr>
      <t>鹏</t>
    </r>
    <r>
      <rPr>
        <sz val="10"/>
        <color theme="1"/>
        <rFont val="Yu Gothic UI"/>
        <family val="2"/>
        <charset val="128"/>
      </rPr>
      <t>/菱王</t>
    </r>
  </si>
  <si>
    <r>
      <rPr>
        <sz val="10"/>
        <color theme="1"/>
        <rFont val="Yu Gothic UI"/>
        <family val="2"/>
        <charset val="128"/>
      </rPr>
      <t>注：玻璃</t>
    </r>
    <r>
      <rPr>
        <sz val="10"/>
        <color theme="1"/>
        <rFont val="宋体"/>
        <family val="3"/>
        <charset val="134"/>
      </rPr>
      <t>门Δ</t>
    </r>
    <r>
      <rPr>
        <sz val="10"/>
        <color theme="1"/>
        <rFont val="Yu Gothic UI"/>
        <family val="2"/>
        <charset val="128"/>
      </rPr>
      <t>WΔW'+25</t>
    </r>
  </si>
  <si>
    <r>
      <rPr>
        <b/>
        <sz val="10"/>
        <rFont val="Yu Gothic UI"/>
        <family val="2"/>
        <charset val="128"/>
      </rPr>
      <t xml:space="preserve">T5 </t>
    </r>
    <r>
      <rPr>
        <b/>
        <sz val="10"/>
        <rFont val="黑体"/>
        <family val="3"/>
        <charset val="134"/>
      </rPr>
      <t>对</t>
    </r>
    <r>
      <rPr>
        <b/>
        <sz val="10"/>
        <rFont val="Yu Gothic UI"/>
        <family val="2"/>
        <charset val="128"/>
      </rPr>
      <t>重</t>
    </r>
    <r>
      <rPr>
        <b/>
        <sz val="10"/>
        <rFont val="黑体"/>
        <family val="3"/>
        <charset val="134"/>
      </rPr>
      <t>撑</t>
    </r>
    <r>
      <rPr>
        <b/>
        <sz val="10"/>
        <rFont val="Yu Gothic UI"/>
        <family val="2"/>
        <charset val="128"/>
      </rPr>
      <t>架</t>
    </r>
    <r>
      <rPr>
        <b/>
        <sz val="10"/>
        <rFont val="黑体"/>
        <family val="3"/>
        <charset val="134"/>
      </rPr>
      <t>宽</t>
    </r>
    <r>
      <rPr>
        <b/>
        <sz val="10"/>
        <rFont val="Yu Gothic UI"/>
        <family val="2"/>
        <charset val="128"/>
      </rPr>
      <t>度 CWGB(mm)</t>
    </r>
  </si>
  <si>
    <r>
      <rPr>
        <sz val="10"/>
        <rFont val="Yu Gothic UI"/>
        <family val="2"/>
        <charset val="128"/>
      </rPr>
      <t>小</t>
    </r>
    <r>
      <rPr>
        <sz val="10"/>
        <rFont val="黑体"/>
        <family val="3"/>
        <charset val="134"/>
      </rPr>
      <t>撑</t>
    </r>
    <r>
      <rPr>
        <sz val="10"/>
        <rFont val="Yu Gothic UI"/>
        <family val="2"/>
        <charset val="128"/>
      </rPr>
      <t>架CWGB</t>
    </r>
    <r>
      <rPr>
        <vertAlign val="subscript"/>
        <sz val="10"/>
        <rFont val="Yu Gothic UI"/>
        <family val="2"/>
        <charset val="128"/>
      </rPr>
      <t>1</t>
    </r>
  </si>
  <si>
    <r>
      <rPr>
        <sz val="8"/>
        <rFont val="Yu Gothic UI"/>
        <family val="2"/>
        <charset val="128"/>
      </rPr>
      <t>大</t>
    </r>
    <r>
      <rPr>
        <sz val="8"/>
        <rFont val="黑体"/>
        <family val="3"/>
        <charset val="134"/>
      </rPr>
      <t>撑</t>
    </r>
    <r>
      <rPr>
        <sz val="8"/>
        <rFont val="Yu Gothic UI"/>
        <family val="2"/>
        <charset val="128"/>
      </rPr>
      <t>架(不含安装支座)CWGB</t>
    </r>
    <r>
      <rPr>
        <vertAlign val="subscript"/>
        <sz val="8"/>
        <rFont val="Yu Gothic UI"/>
        <family val="2"/>
        <charset val="128"/>
      </rPr>
      <t>2</t>
    </r>
  </si>
  <si>
    <r>
      <rPr>
        <sz val="10"/>
        <color theme="1"/>
        <rFont val="黑体"/>
        <family val="3"/>
        <charset val="134"/>
      </rPr>
      <t>为简</t>
    </r>
    <r>
      <rPr>
        <sz val="10"/>
        <color theme="1"/>
        <rFont val="Yu Gothic UI"/>
        <family val="2"/>
        <charset val="128"/>
      </rPr>
      <t>化起</t>
    </r>
    <r>
      <rPr>
        <sz val="10"/>
        <color theme="1"/>
        <rFont val="黑体"/>
        <family val="3"/>
        <charset val="134"/>
      </rPr>
      <t>见</t>
    </r>
    <r>
      <rPr>
        <sz val="10"/>
        <color theme="1"/>
        <rFont val="Yu Gothic UI"/>
        <family val="2"/>
        <charset val="128"/>
      </rPr>
      <t>，</t>
    </r>
    <r>
      <rPr>
        <sz val="10"/>
        <color theme="1"/>
        <rFont val="黑体"/>
        <family val="3"/>
        <charset val="134"/>
      </rPr>
      <t>导轨</t>
    </r>
    <r>
      <rPr>
        <sz val="10"/>
        <color theme="1"/>
        <rFont val="Yu Gothic UI"/>
        <family val="2"/>
        <charset val="128"/>
      </rPr>
      <t>型号已</t>
    </r>
    <r>
      <rPr>
        <sz val="10"/>
        <color theme="1"/>
        <rFont val="黑体"/>
        <family val="3"/>
        <charset val="134"/>
      </rPr>
      <t>经统</t>
    </r>
    <r>
      <rPr>
        <sz val="10"/>
        <color theme="1"/>
        <rFont val="Yu Gothic UI"/>
        <family val="2"/>
        <charset val="128"/>
      </rPr>
      <t>一按最大T75考</t>
    </r>
    <r>
      <rPr>
        <sz val="10"/>
        <color theme="1"/>
        <rFont val="黑体"/>
        <family val="3"/>
        <charset val="134"/>
      </rPr>
      <t>虑</t>
    </r>
  </si>
  <si>
    <r>
      <rPr>
        <b/>
        <sz val="12"/>
        <color theme="1"/>
        <rFont val="黑体"/>
        <family val="3"/>
        <charset val="134"/>
      </rPr>
      <t>轿厢</t>
    </r>
    <r>
      <rPr>
        <b/>
        <sz val="12"/>
        <color theme="1"/>
        <rFont val="Yu Gothic UI"/>
        <family val="2"/>
        <charset val="128"/>
      </rPr>
      <t>&gt;井道 数据</t>
    </r>
  </si>
  <si>
    <r>
      <rPr>
        <b/>
        <sz val="10"/>
        <rFont val="Yu Gothic UI"/>
        <family val="2"/>
        <charset val="128"/>
      </rPr>
      <t xml:space="preserve">T6 </t>
    </r>
    <r>
      <rPr>
        <b/>
        <sz val="10"/>
        <rFont val="黑体"/>
        <family val="3"/>
        <charset val="134"/>
      </rPr>
      <t>轿厢</t>
    </r>
    <r>
      <rPr>
        <b/>
        <sz val="10"/>
        <rFont val="Yu Gothic UI"/>
        <family val="2"/>
        <charset val="128"/>
      </rPr>
      <t>内壁至井道壁最小距</t>
    </r>
    <r>
      <rPr>
        <b/>
        <sz val="10"/>
        <rFont val="黑体"/>
        <family val="3"/>
        <charset val="134"/>
      </rPr>
      <t>离</t>
    </r>
    <r>
      <rPr>
        <b/>
        <sz val="10"/>
        <rFont val="Yu Gothic UI"/>
        <family val="2"/>
        <charset val="128"/>
      </rPr>
      <t xml:space="preserve"> CSD(mm)</t>
    </r>
  </si>
  <si>
    <r>
      <rPr>
        <sz val="10"/>
        <rFont val="黑体"/>
        <family val="3"/>
        <charset val="134"/>
      </rPr>
      <t>侧</t>
    </r>
    <r>
      <rPr>
        <sz val="10"/>
        <rFont val="Yu Gothic UI"/>
        <family val="2"/>
        <charset val="128"/>
      </rPr>
      <t>壁小</t>
    </r>
    <r>
      <rPr>
        <sz val="10"/>
        <rFont val="黑体"/>
        <family val="3"/>
        <charset val="134"/>
      </rPr>
      <t>撑</t>
    </r>
    <r>
      <rPr>
        <sz val="10"/>
        <rFont val="Yu Gothic UI"/>
        <family val="2"/>
        <charset val="128"/>
      </rPr>
      <t>架CSD</t>
    </r>
    <r>
      <rPr>
        <vertAlign val="subscript"/>
        <sz val="10"/>
        <rFont val="Yu Gothic UI"/>
        <family val="2"/>
        <charset val="128"/>
      </rPr>
      <t>1</t>
    </r>
  </si>
  <si>
    <r>
      <rPr>
        <sz val="10"/>
        <rFont val="黑体"/>
        <family val="3"/>
        <charset val="134"/>
      </rPr>
      <t>侧</t>
    </r>
    <r>
      <rPr>
        <sz val="10"/>
        <rFont val="Yu Gothic UI"/>
        <family val="2"/>
        <charset val="128"/>
      </rPr>
      <t>壁大</t>
    </r>
    <r>
      <rPr>
        <sz val="10"/>
        <rFont val="黑体"/>
        <family val="3"/>
        <charset val="134"/>
      </rPr>
      <t>撑</t>
    </r>
    <r>
      <rPr>
        <sz val="10"/>
        <rFont val="Yu Gothic UI"/>
        <family val="2"/>
        <charset val="128"/>
      </rPr>
      <t>架CSD</t>
    </r>
    <r>
      <rPr>
        <vertAlign val="subscript"/>
        <sz val="10"/>
        <rFont val="Yu Gothic UI"/>
        <family val="2"/>
        <charset val="128"/>
      </rPr>
      <t>2</t>
    </r>
  </si>
  <si>
    <r>
      <rPr>
        <sz val="10"/>
        <rFont val="Yu Gothic UI"/>
        <family val="2"/>
        <charset val="128"/>
      </rPr>
      <t>后壁小</t>
    </r>
    <r>
      <rPr>
        <sz val="10"/>
        <rFont val="黑体"/>
        <family val="3"/>
        <charset val="134"/>
      </rPr>
      <t>撑</t>
    </r>
    <r>
      <rPr>
        <sz val="10"/>
        <rFont val="Yu Gothic UI"/>
        <family val="2"/>
        <charset val="128"/>
      </rPr>
      <t>架CSD</t>
    </r>
    <r>
      <rPr>
        <vertAlign val="subscript"/>
        <sz val="10"/>
        <rFont val="Yu Gothic UI"/>
        <family val="2"/>
        <charset val="128"/>
      </rPr>
      <t>3</t>
    </r>
  </si>
  <si>
    <r>
      <rPr>
        <sz val="10"/>
        <rFont val="黑体"/>
        <family val="3"/>
        <charset val="134"/>
      </rPr>
      <t>对</t>
    </r>
    <r>
      <rPr>
        <sz val="10"/>
        <rFont val="Yu Gothic UI"/>
        <family val="2"/>
        <charset val="128"/>
      </rPr>
      <t>重</t>
    </r>
    <r>
      <rPr>
        <sz val="10"/>
        <rFont val="黑体"/>
        <family val="3"/>
        <charset val="134"/>
      </rPr>
      <t>侧</t>
    </r>
    <r>
      <rPr>
        <sz val="10"/>
        <rFont val="Yu Gothic UI"/>
        <family val="2"/>
        <charset val="128"/>
      </rPr>
      <t>置后壁CSD</t>
    </r>
    <r>
      <rPr>
        <vertAlign val="subscript"/>
        <sz val="10"/>
        <rFont val="Yu Gothic UI"/>
        <family val="2"/>
        <charset val="128"/>
      </rPr>
      <t>4</t>
    </r>
  </si>
  <si>
    <r>
      <rPr>
        <sz val="10"/>
        <color theme="1"/>
        <rFont val="Yu Gothic UI"/>
        <family val="2"/>
        <charset val="128"/>
      </rPr>
      <t>注：CSD2除了</t>
    </r>
    <r>
      <rPr>
        <sz val="10"/>
        <color theme="1"/>
        <rFont val="黑体"/>
        <family val="3"/>
        <charset val="134"/>
      </rPr>
      <t>撑</t>
    </r>
    <r>
      <rPr>
        <sz val="10"/>
        <color theme="1"/>
        <rFont val="Yu Gothic UI"/>
        <family val="2"/>
        <charset val="128"/>
      </rPr>
      <t>架位置，</t>
    </r>
    <r>
      <rPr>
        <sz val="10"/>
        <color theme="1"/>
        <rFont val="黑体"/>
        <family val="3"/>
        <charset val="134"/>
      </rPr>
      <t>还</t>
    </r>
    <r>
      <rPr>
        <sz val="10"/>
        <color theme="1"/>
        <rFont val="Yu Gothic UI"/>
        <family val="2"/>
        <charset val="128"/>
      </rPr>
      <t>要考</t>
    </r>
    <r>
      <rPr>
        <sz val="10"/>
        <color theme="1"/>
        <rFont val="黑体"/>
        <family val="3"/>
        <charset val="134"/>
      </rPr>
      <t>虑</t>
    </r>
    <r>
      <rPr>
        <sz val="10"/>
        <color theme="1"/>
        <rFont val="Yu Gothic UI"/>
        <family val="2"/>
        <charset val="128"/>
      </rPr>
      <t>机架的需求。CSD4不包含井道偏差</t>
    </r>
  </si>
  <si>
    <t>T7 共用尺寸</t>
  </si>
  <si>
    <r>
      <rPr>
        <b/>
        <sz val="10"/>
        <rFont val="黑体"/>
        <family val="3"/>
        <charset val="134"/>
      </rPr>
      <t>门头边缘</t>
    </r>
    <r>
      <rPr>
        <b/>
        <sz val="10"/>
        <rFont val="Yu Gothic UI"/>
        <family val="2"/>
        <charset val="128"/>
      </rPr>
      <t>至</t>
    </r>
    <r>
      <rPr>
        <b/>
        <sz val="10"/>
        <rFont val="黑体"/>
        <family val="3"/>
        <charset val="134"/>
      </rPr>
      <t>轿</t>
    </r>
    <r>
      <rPr>
        <b/>
        <sz val="10"/>
        <rFont val="Yu Gothic UI"/>
        <family val="2"/>
        <charset val="128"/>
      </rPr>
      <t>壁前壁
最小距</t>
    </r>
    <r>
      <rPr>
        <b/>
        <sz val="10"/>
        <rFont val="黑体"/>
        <family val="3"/>
        <charset val="134"/>
      </rPr>
      <t>离</t>
    </r>
    <r>
      <rPr>
        <b/>
        <sz val="10"/>
        <rFont val="Yu Gothic UI"/>
        <family val="2"/>
        <charset val="128"/>
      </rPr>
      <t xml:space="preserve"> DD(mm)</t>
    </r>
  </si>
  <si>
    <r>
      <rPr>
        <b/>
        <sz val="7"/>
        <rFont val="黑体"/>
        <family val="3"/>
        <charset val="134"/>
      </rPr>
      <t>标</t>
    </r>
    <r>
      <rPr>
        <b/>
        <sz val="7"/>
        <rFont val="Yu Gothic UI"/>
        <family val="2"/>
        <charset val="128"/>
      </rPr>
      <t>准KTV偏差</t>
    </r>
    <r>
      <rPr>
        <b/>
        <sz val="7"/>
        <rFont val="黑体"/>
        <family val="3"/>
        <charset val="134"/>
      </rPr>
      <t>值极</t>
    </r>
    <r>
      <rPr>
        <b/>
        <sz val="7"/>
        <rFont val="Yu Gothic UI"/>
        <family val="2"/>
        <charset val="128"/>
      </rPr>
      <t>限
KTVx(mm)</t>
    </r>
  </si>
  <si>
    <r>
      <rPr>
        <b/>
        <sz val="7"/>
        <rFont val="Yu Gothic UI"/>
        <family val="2"/>
        <charset val="128"/>
      </rPr>
      <t>大</t>
    </r>
    <r>
      <rPr>
        <b/>
        <sz val="7"/>
        <rFont val="黑体"/>
        <family val="3"/>
        <charset val="134"/>
      </rPr>
      <t>撑</t>
    </r>
    <r>
      <rPr>
        <b/>
        <sz val="7"/>
        <rFont val="Yu Gothic UI"/>
        <family val="2"/>
        <charset val="128"/>
      </rPr>
      <t>架安装支座增加</t>
    </r>
    <r>
      <rPr>
        <b/>
        <sz val="7"/>
        <rFont val="黑体"/>
        <family val="3"/>
        <charset val="134"/>
      </rPr>
      <t>宽</t>
    </r>
    <r>
      <rPr>
        <b/>
        <sz val="7"/>
        <rFont val="Yu Gothic UI"/>
        <family val="2"/>
        <charset val="128"/>
      </rPr>
      <t>度
CWGB2P(mm)</t>
    </r>
  </si>
  <si>
    <r>
      <rPr>
        <sz val="10"/>
        <rFont val="Yu Gothic UI"/>
        <family val="2"/>
        <charset val="128"/>
      </rPr>
      <t>70是常</t>
    </r>
    <r>
      <rPr>
        <sz val="10"/>
        <rFont val="宋体"/>
        <family val="3"/>
        <charset val="134"/>
      </rPr>
      <t>规撑</t>
    </r>
    <r>
      <rPr>
        <sz val="10"/>
        <rFont val="Yu Gothic UI"/>
        <family val="2"/>
        <charset val="128"/>
      </rPr>
      <t>架</t>
    </r>
    <r>
      <rPr>
        <sz val="10"/>
        <rFont val="宋体"/>
        <family val="3"/>
        <charset val="134"/>
      </rPr>
      <t>结构</t>
    </r>
    <r>
      <rPr>
        <sz val="10"/>
        <rFont val="Yu Gothic UI"/>
        <family val="2"/>
        <charset val="128"/>
      </rPr>
      <t>，打后</t>
    </r>
    <r>
      <rPr>
        <sz val="10"/>
        <rFont val="宋体"/>
        <family val="3"/>
        <charset val="134"/>
      </rPr>
      <t>墙</t>
    </r>
    <r>
      <rPr>
        <sz val="10"/>
        <rFont val="Yu Gothic UI"/>
        <family val="2"/>
        <charset val="128"/>
      </rPr>
      <t>可更小</t>
    </r>
  </si>
  <si>
    <r>
      <rPr>
        <b/>
        <sz val="10"/>
        <rFont val="Yu Gothic UI"/>
        <family val="2"/>
        <charset val="128"/>
      </rPr>
      <t>T8 免</t>
    </r>
    <r>
      <rPr>
        <b/>
        <sz val="10"/>
        <rFont val="黑体"/>
        <family val="3"/>
        <charset val="134"/>
      </rPr>
      <t>询</t>
    </r>
    <r>
      <rPr>
        <b/>
        <sz val="10"/>
        <rFont val="Yu Gothic UI"/>
        <family val="2"/>
        <charset val="128"/>
      </rPr>
      <t>售前</t>
    </r>
    <r>
      <rPr>
        <b/>
        <sz val="10"/>
        <rFont val="黑体"/>
        <family val="3"/>
        <charset val="134"/>
      </rPr>
      <t>轿厢</t>
    </r>
    <r>
      <rPr>
        <b/>
        <sz val="10"/>
        <rFont val="Yu Gothic UI"/>
        <family val="2"/>
        <charset val="128"/>
      </rPr>
      <t>尺寸(mm)</t>
    </r>
  </si>
  <si>
    <r>
      <rPr>
        <sz val="10"/>
        <rFont val="黑体"/>
        <family val="3"/>
        <charset val="134"/>
      </rPr>
      <t>轿厢宽</t>
    </r>
    <r>
      <rPr>
        <sz val="10"/>
        <rFont val="Yu Gothic UI"/>
        <family val="2"/>
        <charset val="128"/>
      </rPr>
      <t>度</t>
    </r>
  </si>
  <si>
    <r>
      <rPr>
        <sz val="10"/>
        <rFont val="Yu Gothic UI"/>
        <family val="2"/>
        <charset val="128"/>
      </rPr>
      <t>最小</t>
    </r>
    <r>
      <rPr>
        <sz val="10"/>
        <rFont val="黑体"/>
        <family val="3"/>
        <charset val="134"/>
      </rPr>
      <t>值</t>
    </r>
  </si>
  <si>
    <r>
      <rPr>
        <sz val="10"/>
        <rFont val="Yu Gothic UI"/>
        <family val="2"/>
        <charset val="128"/>
      </rPr>
      <t>最大</t>
    </r>
    <r>
      <rPr>
        <sz val="10"/>
        <rFont val="黑体"/>
        <family val="3"/>
        <charset val="134"/>
      </rPr>
      <t>值</t>
    </r>
  </si>
  <si>
    <r>
      <rPr>
        <sz val="10"/>
        <rFont val="黑体"/>
        <family val="3"/>
        <charset val="134"/>
      </rPr>
      <t>轿厢</t>
    </r>
    <r>
      <rPr>
        <sz val="10"/>
        <rFont val="Yu Gothic UI"/>
        <family val="2"/>
        <charset val="128"/>
      </rPr>
      <t>深度</t>
    </r>
  </si>
  <si>
    <r>
      <rPr>
        <b/>
        <sz val="10"/>
        <rFont val="Yu Gothic UI"/>
        <family val="2"/>
        <charset val="128"/>
      </rPr>
      <t xml:space="preserve">T9 </t>
    </r>
    <r>
      <rPr>
        <b/>
        <sz val="10"/>
        <rFont val="TKTypeRegular"/>
        <family val="1"/>
      </rPr>
      <t>护栏</t>
    </r>
    <r>
      <rPr>
        <b/>
        <sz val="10"/>
        <rFont val="Yu Gothic UI"/>
        <family val="2"/>
        <charset val="128"/>
      </rPr>
      <t>扶手外</t>
    </r>
    <r>
      <rPr>
        <b/>
        <sz val="10"/>
        <rFont val="TKTypeRegular"/>
        <family val="1"/>
      </rPr>
      <t>缘</t>
    </r>
    <r>
      <rPr>
        <b/>
        <sz val="10"/>
        <rFont val="Yu Gothic UI"/>
        <family val="2"/>
        <charset val="128"/>
      </rPr>
      <t>至</t>
    </r>
    <r>
      <rPr>
        <b/>
        <sz val="10"/>
        <rFont val="TKTypeRegular"/>
        <family val="1"/>
      </rPr>
      <t>轿厢</t>
    </r>
    <r>
      <rPr>
        <b/>
        <sz val="10"/>
        <rFont val="Yu Gothic UI"/>
        <family val="2"/>
        <charset val="128"/>
      </rPr>
      <t>内壁水平距</t>
    </r>
    <r>
      <rPr>
        <b/>
        <sz val="10"/>
        <rFont val="TKTypeRegular"/>
        <family val="1"/>
      </rPr>
      <t>离</t>
    </r>
    <r>
      <rPr>
        <b/>
        <sz val="10"/>
        <rFont val="Yu Gothic UI"/>
        <family val="2"/>
        <charset val="128"/>
      </rPr>
      <t>-</t>
    </r>
    <r>
      <rPr>
        <b/>
        <sz val="10"/>
        <rFont val="TKTypeRegular"/>
        <family val="1"/>
      </rPr>
      <t>侧</t>
    </r>
    <r>
      <rPr>
        <b/>
        <sz val="10"/>
        <rFont val="Yu Gothic UI"/>
        <family val="2"/>
        <charset val="128"/>
      </rPr>
      <t>壁HRW、后壁HRD(mm)</t>
    </r>
  </si>
  <si>
    <r>
      <rPr>
        <sz val="10"/>
        <rFont val="微软雅黑"/>
        <family val="2"/>
        <charset val="134"/>
      </rPr>
      <t>载</t>
    </r>
    <r>
      <rPr>
        <sz val="10"/>
        <rFont val="Yu Gothic UI"/>
        <family val="2"/>
        <charset val="128"/>
      </rPr>
      <t>重Q(kg)</t>
    </r>
  </si>
  <si>
    <t>HRW(mm)</t>
  </si>
  <si>
    <t>HRD(mm)</t>
  </si>
  <si>
    <t>HP61</t>
  </si>
  <si>
    <t>全部</t>
  </si>
  <si>
    <t>Evolution</t>
  </si>
  <si>
    <t>GL</t>
  </si>
  <si>
    <r>
      <rPr>
        <sz val="10"/>
        <rFont val="Yu Gothic UI"/>
        <family val="2"/>
        <charset val="128"/>
      </rPr>
      <t>Q</t>
    </r>
    <r>
      <rPr>
        <sz val="10"/>
        <rFont val="TKTypeRegular"/>
        <family val="1"/>
      </rPr>
      <t>≤</t>
    </r>
    <r>
      <rPr>
        <sz val="10"/>
        <rFont val="Yu Gothic UI"/>
        <family val="2"/>
        <charset val="128"/>
      </rPr>
      <t>1150</t>
    </r>
  </si>
  <si>
    <t>Q&gt;1150</t>
  </si>
  <si>
    <t>Evolution1</t>
  </si>
  <si>
    <t>版本</t>
  </si>
  <si>
    <t>修改内容</t>
  </si>
  <si>
    <t>修改人</t>
  </si>
  <si>
    <t>修改日期</t>
  </si>
  <si>
    <r>
      <rPr>
        <sz val="10"/>
        <color theme="0"/>
        <rFont val="黑体"/>
        <family val="3"/>
        <charset val="134"/>
      </rPr>
      <t>备</t>
    </r>
    <r>
      <rPr>
        <sz val="10"/>
        <color theme="0"/>
        <rFont val="Yu Gothic UI"/>
        <family val="2"/>
        <charset val="128"/>
      </rPr>
      <t>注</t>
    </r>
  </si>
  <si>
    <t>Ver.2013-11</t>
  </si>
  <si>
    <r>
      <rPr>
        <sz val="10"/>
        <rFont val="Yu Gothic UI"/>
        <family val="2"/>
        <charset val="128"/>
      </rPr>
      <t>原始版本</t>
    </r>
  </si>
  <si>
    <t>Champ Liu</t>
  </si>
  <si>
    <t>Ver.2023-12</t>
  </si>
  <si>
    <r>
      <rPr>
        <sz val="10"/>
        <rFont val="宋体"/>
        <family val="3"/>
        <charset val="134"/>
      </rPr>
      <t>导</t>
    </r>
    <r>
      <rPr>
        <sz val="10"/>
        <rFont val="Yu Gothic UI"/>
        <family val="2"/>
        <charset val="128"/>
      </rPr>
      <t>入菱王</t>
    </r>
  </si>
  <si>
    <t>Daniel</t>
  </si>
  <si>
    <t>Ver.2024-07</t>
  </si>
  <si>
    <r>
      <rPr>
        <sz val="10"/>
        <rFont val="Yu Gothic UI"/>
        <family val="2"/>
        <charset val="128"/>
      </rPr>
      <t>1.增加汽</t>
    </r>
    <r>
      <rPr>
        <sz val="10"/>
        <rFont val="宋体"/>
        <family val="3"/>
        <charset val="134"/>
      </rPr>
      <t>车</t>
    </r>
    <r>
      <rPr>
        <sz val="10"/>
        <rFont val="Yu Gothic UI"/>
        <family val="2"/>
        <charset val="128"/>
      </rPr>
      <t>梯 有机房+无机房
2.增加玻璃</t>
    </r>
    <r>
      <rPr>
        <sz val="10"/>
        <rFont val="宋体"/>
        <family val="3"/>
        <charset val="134"/>
      </rPr>
      <t xml:space="preserve">门选项
</t>
    </r>
    <r>
      <rPr>
        <sz val="10"/>
        <rFont val="Yu Gothic UI"/>
        <family val="2"/>
        <charset val="128"/>
      </rPr>
      <t>3.人数</t>
    </r>
    <r>
      <rPr>
        <sz val="10"/>
        <rFont val="宋体"/>
        <family val="3"/>
        <charset val="134"/>
      </rPr>
      <t>计</t>
    </r>
    <r>
      <rPr>
        <sz val="10"/>
        <rFont val="Yu Gothic UI"/>
        <family val="2"/>
        <charset val="128"/>
      </rPr>
      <t>算考</t>
    </r>
    <r>
      <rPr>
        <sz val="10"/>
        <rFont val="宋体"/>
        <family val="3"/>
        <charset val="134"/>
      </rPr>
      <t>虑</t>
    </r>
    <r>
      <rPr>
        <sz val="10"/>
        <rFont val="Yu Gothic UI"/>
        <family val="2"/>
        <charset val="128"/>
      </rPr>
      <t>：</t>
    </r>
    <r>
      <rPr>
        <sz val="10"/>
        <rFont val="宋体"/>
        <family val="3"/>
        <charset val="134"/>
      </rPr>
      <t>货</t>
    </r>
    <r>
      <rPr>
        <sz val="10"/>
        <rFont val="Yu Gothic UI"/>
        <family val="2"/>
        <charset val="128"/>
      </rPr>
      <t>梯+EN81-20
4.客</t>
    </r>
    <r>
      <rPr>
        <sz val="10"/>
        <rFont val="宋体"/>
        <family val="3"/>
        <charset val="134"/>
      </rPr>
      <t>户</t>
    </r>
    <r>
      <rPr>
        <sz val="10"/>
        <rFont val="Yu Gothic UI"/>
        <family val="2"/>
        <charset val="128"/>
      </rPr>
      <t>自理大理石重量</t>
    </r>
  </si>
  <si>
    <t>井道宽</t>
  </si>
  <si>
    <t>井道深</t>
  </si>
  <si>
    <t>轿厢宽</t>
  </si>
  <si>
    <t>轿厢深</t>
  </si>
  <si>
    <t>开门中分</t>
  </si>
  <si>
    <t>开门旁开</t>
  </si>
  <si>
    <t>侧对重宽度-550，轿厢深度中分-350，旁开-450，中分开门*2+200，旁开开门*1.5+400，玻璃门再加50</t>
  </si>
  <si>
    <t>贯通门-550</t>
  </si>
  <si>
    <t>后对重宽度-400，轿厢深度-550，旁开-650，，中分开门*2+200，旁开开门*1.5+400，，玻璃门再加50</t>
  </si>
  <si>
    <t>顶层后对重3200，侧对重3100</t>
  </si>
  <si>
    <t>miniq</t>
  </si>
  <si>
    <t>宽度-400，深度-250，开门轿厢宽度-150</t>
  </si>
  <si>
    <t>钢带型</t>
  </si>
  <si>
    <t>侧对重宽-600，深-250</t>
  </si>
  <si>
    <t>后对重宽-450，深-500，中分*2+150，旁开*1.5+400，玻璃门要求+50，贯通门深度-450</t>
  </si>
  <si>
    <t>Homi-E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</si>
</sst>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78" formatCode="0_ "/>
    <numFmt numFmtId="179" formatCode="0.0_ "/>
    <numFmt numFmtId="180" formatCode="0.00_ "/>
    <numFmt numFmtId="181" formatCode="0.000_ "/>
  </numFmts>
  <fonts count="166">
    <font>
      <sz val="12"/>
      <name val="宋体"/>
      <charset val="134"/>
    </font>
    <font>
      <sz val="11"/>
      <color indexed="8"/>
      <name val="宋体"/>
      <charset val="134"/>
    </font>
    <font>
      <sz val="12"/>
      <name val="Yu Gothic UI"/>
      <family val="2"/>
    </font>
    <font>
      <sz val="10"/>
      <color theme="0"/>
      <name val="Yu Gothic UI"/>
      <family val="2"/>
    </font>
    <font>
      <sz val="10"/>
      <name val="Yu Gothic UI"/>
      <family val="2"/>
    </font>
    <font>
      <sz val="12"/>
      <color theme="1"/>
      <name val="Yu Gothic UI"/>
      <family val="2"/>
    </font>
    <font>
      <sz val="10"/>
      <color theme="1"/>
      <name val="Yu Gothic UI"/>
      <family val="2"/>
    </font>
    <font>
      <b/>
      <sz val="10"/>
      <name val="Yu Gothic UI"/>
      <family val="2"/>
    </font>
    <font>
      <sz val="10"/>
      <color theme="4"/>
      <name val="Yu Gothic UI"/>
      <family val="2"/>
    </font>
    <font>
      <sz val="10"/>
      <color theme="3" tint="0.39994506668294322"/>
      <name val="Yu Gothic UI"/>
      <family val="2"/>
    </font>
    <font>
      <sz val="10"/>
      <color theme="0" tint="-0.499984740745262"/>
      <name val="Yu Gothic UI"/>
      <family val="2"/>
    </font>
    <font>
      <b/>
      <sz val="9"/>
      <name val="Yu Gothic UI"/>
      <family val="2"/>
    </font>
    <font>
      <sz val="6"/>
      <name val="Yu Gothic UI"/>
      <family val="2"/>
    </font>
    <font>
      <u/>
      <sz val="10"/>
      <color rgb="FF0070C0"/>
      <name val="Yu Gothic UI"/>
      <family val="2"/>
    </font>
    <font>
      <sz val="10"/>
      <color rgb="FF0070C0"/>
      <name val="Yu Gothic UI"/>
      <family val="2"/>
    </font>
    <font>
      <sz val="8"/>
      <name val="Yu Gothic UI"/>
      <family val="2"/>
    </font>
    <font>
      <b/>
      <sz val="12"/>
      <color theme="1"/>
      <name val="Yu Gothic UI"/>
      <family val="2"/>
    </font>
    <font>
      <b/>
      <sz val="7"/>
      <name val="Yu Gothic UI"/>
      <family val="2"/>
    </font>
    <font>
      <sz val="10"/>
      <color rgb="FF2E70C0"/>
      <name val="Yu Gothic UI"/>
      <family val="2"/>
    </font>
    <font>
      <u/>
      <sz val="10"/>
      <name val="Yu Gothic UI"/>
      <family val="2"/>
    </font>
    <font>
      <u/>
      <sz val="10"/>
      <color theme="4"/>
      <name val="Yu Gothic UI"/>
      <family val="2"/>
    </font>
    <font>
      <b/>
      <sz val="10"/>
      <color theme="1"/>
      <name val="Yu Gothic UI"/>
      <family val="2"/>
    </font>
    <font>
      <sz val="9"/>
      <color theme="1"/>
      <name val="Yu Gothic UI"/>
      <family val="2"/>
    </font>
    <font>
      <sz val="6"/>
      <color theme="1"/>
      <name val="Yu Gothic UI"/>
      <family val="2"/>
    </font>
    <font>
      <b/>
      <sz val="10"/>
      <color theme="0"/>
      <name val="Yu Gothic UI"/>
      <family val="2"/>
    </font>
    <font>
      <b/>
      <sz val="10"/>
      <color rgb="FF0070C0"/>
      <name val="Yu Gothic UI"/>
      <family val="2"/>
    </font>
    <font>
      <b/>
      <sz val="10"/>
      <color theme="4"/>
      <name val="Yu Gothic UI"/>
      <family val="2"/>
    </font>
    <font>
      <vertAlign val="superscript"/>
      <sz val="10"/>
      <name val="Yu Gothic UI"/>
      <family val="2"/>
    </font>
    <font>
      <sz val="12"/>
      <color indexed="10"/>
      <name val="Yu Gothic UI"/>
      <family val="2"/>
    </font>
    <font>
      <sz val="16"/>
      <name val="Yu Gothic UI"/>
      <family val="2"/>
    </font>
    <font>
      <b/>
      <sz val="16"/>
      <name val="Yu Gothic UI"/>
      <family val="2"/>
    </font>
    <font>
      <b/>
      <sz val="12"/>
      <name val="Yu Gothic UI"/>
      <family val="2"/>
    </font>
    <font>
      <sz val="12"/>
      <color indexed="12"/>
      <name val="Yu Gothic UI"/>
      <family val="2"/>
    </font>
    <font>
      <sz val="12"/>
      <color theme="1" tint="0.499984740745262"/>
      <name val="Yu Gothic UI"/>
      <family val="2"/>
    </font>
    <font>
      <sz val="12"/>
      <name val="微软雅黑"/>
      <charset val="134"/>
    </font>
    <font>
      <sz val="12"/>
      <color theme="1" tint="4.9989318521683403E-2"/>
      <name val="Yu Gothic UI"/>
      <family val="2"/>
    </font>
    <font>
      <strike/>
      <sz val="12"/>
      <name val="Yu Gothic UI"/>
      <family val="2"/>
    </font>
    <font>
      <b/>
      <sz val="24"/>
      <color rgb="FFFF0000"/>
      <name val="Yu Gothic UI"/>
      <family val="2"/>
    </font>
    <font>
      <sz val="10"/>
      <color rgb="FFFF0000"/>
      <name val="Yu Gothic UI"/>
      <family val="2"/>
    </font>
    <font>
      <sz val="12"/>
      <color theme="0" tint="-0.14993743705557422"/>
      <name val="Yu Gothic UI"/>
      <family val="2"/>
    </font>
    <font>
      <sz val="12"/>
      <color rgb="FFFF0000"/>
      <name val="Yu Gothic UI"/>
      <family val="2"/>
    </font>
    <font>
      <b/>
      <sz val="12"/>
      <color indexed="10"/>
      <name val="Yu Gothic UI"/>
      <family val="2"/>
    </font>
    <font>
      <sz val="12"/>
      <color theme="0" tint="-0.499984740745262"/>
      <name val="Yu Gothic UI"/>
      <family val="2"/>
    </font>
    <font>
      <sz val="9"/>
      <name val="Yu Gothic UI"/>
      <family val="2"/>
    </font>
    <font>
      <sz val="14"/>
      <color theme="9" tint="-0.499984740745262"/>
      <name val="Yu Gothic UI"/>
      <family val="2"/>
    </font>
    <font>
      <sz val="6.5"/>
      <color theme="1"/>
      <name val="Yu Gothic UI"/>
      <family val="2"/>
    </font>
    <font>
      <sz val="6.5"/>
      <name val="Yu Gothic UI"/>
      <family val="2"/>
    </font>
    <font>
      <sz val="11"/>
      <name val="Yu Gothic UI"/>
      <family val="2"/>
    </font>
    <font>
      <i/>
      <sz val="12"/>
      <name val="Yu Gothic UI"/>
      <family val="2"/>
    </font>
    <font>
      <sz val="10"/>
      <name val="Yu Gothic UI Light"/>
      <family val="2"/>
    </font>
    <font>
      <sz val="12"/>
      <name val="Yu Gothic UI Semibold"/>
      <family val="2"/>
    </font>
    <font>
      <sz val="10"/>
      <color rgb="FF2F2F2F"/>
      <name val="Yu Gothic UI Light"/>
      <family val="2"/>
    </font>
    <font>
      <b/>
      <sz val="10"/>
      <color theme="0"/>
      <name val="Yu Gothic UI Semibold"/>
      <family val="2"/>
    </font>
    <font>
      <sz val="12"/>
      <name val="TKTypeRegular"/>
      <family val="1"/>
    </font>
    <font>
      <sz val="10"/>
      <name val="TKTypeRegular"/>
      <family val="1"/>
    </font>
    <font>
      <sz val="12"/>
      <name val="Yu Gothic UI Light"/>
      <family val="2"/>
      <charset val="128"/>
    </font>
    <font>
      <b/>
      <sz val="12"/>
      <name val="Yu Gothic UI Light"/>
      <family val="2"/>
      <charset val="128"/>
    </font>
    <font>
      <b/>
      <sz val="14"/>
      <color theme="1" tint="0.499984740745262"/>
      <name val="Yu Gothic UI Light"/>
      <family val="2"/>
      <charset val="128"/>
    </font>
    <font>
      <b/>
      <sz val="16"/>
      <color theme="1"/>
      <name val="Yu Gothic UI Light"/>
      <family val="2"/>
      <charset val="128"/>
    </font>
    <font>
      <b/>
      <sz val="10"/>
      <color theme="4" tint="-0.499984740745262"/>
      <name val="Yu Gothic UI Light"/>
      <family val="2"/>
      <charset val="128"/>
    </font>
    <font>
      <sz val="10"/>
      <color theme="1"/>
      <name val="Yu Gothic UI Light"/>
      <family val="2"/>
      <charset val="128"/>
    </font>
    <font>
      <sz val="12"/>
      <color theme="0"/>
      <name val="Yu Gothic UI Light"/>
      <family val="2"/>
      <charset val="128"/>
    </font>
    <font>
      <b/>
      <sz val="12"/>
      <color theme="0"/>
      <name val="Yu Gothic UI Semibold"/>
      <family val="2"/>
      <charset val="128"/>
    </font>
    <font>
      <sz val="11"/>
      <color theme="0"/>
      <name val="Yu Gothic UI Light"/>
      <family val="2"/>
      <charset val="128"/>
    </font>
    <font>
      <sz val="10"/>
      <color theme="0"/>
      <name val="Yu Gothic UI Light"/>
      <family val="2"/>
      <charset val="128"/>
    </font>
    <font>
      <sz val="10"/>
      <name val="Yu Gothic UI Semibold"/>
      <family val="2"/>
      <charset val="128"/>
    </font>
    <font>
      <sz val="9.5"/>
      <color theme="9" tint="-0.499984740745262"/>
      <name val="Yu Gothic UI Semibold"/>
      <family val="2"/>
      <charset val="128"/>
    </font>
    <font>
      <sz val="10"/>
      <color theme="9" tint="-0.499984740745262"/>
      <name val="Yu Gothic UI Semibold"/>
      <family val="2"/>
      <charset val="128"/>
    </font>
    <font>
      <sz val="6"/>
      <color theme="0" tint="-0.499984740745262"/>
      <name val="Yu Gothic UI Light"/>
      <family val="2"/>
      <charset val="128"/>
    </font>
    <font>
      <sz val="10"/>
      <color theme="1" tint="0.499984740745262"/>
      <name val="Yu Gothic UI Semibold"/>
      <family val="2"/>
      <charset val="128"/>
    </font>
    <font>
      <sz val="6"/>
      <color rgb="FFFF0000"/>
      <name val="Yu Gothic UI Light"/>
      <family val="2"/>
      <charset val="128"/>
    </font>
    <font>
      <b/>
      <sz val="10"/>
      <color theme="1"/>
      <name val="Yu Gothic UI Semibold"/>
      <family val="2"/>
      <charset val="128"/>
    </font>
    <font>
      <sz val="11"/>
      <name val="Yu Gothic UI Semibold"/>
      <family val="2"/>
      <charset val="128"/>
    </font>
    <font>
      <b/>
      <sz val="14"/>
      <name val="Yu Gothic UI Semibold"/>
      <family val="2"/>
      <charset val="128"/>
    </font>
    <font>
      <sz val="10"/>
      <color rgb="FFFF0000"/>
      <name val="Yu Gothic UI Semibold"/>
      <family val="2"/>
      <charset val="128"/>
    </font>
    <font>
      <b/>
      <sz val="11"/>
      <name val="Yu Gothic UI Semibold"/>
      <family val="2"/>
      <charset val="128"/>
    </font>
    <font>
      <b/>
      <sz val="12"/>
      <name val="Yu Gothic UI Semibold"/>
      <family val="2"/>
      <charset val="128"/>
    </font>
    <font>
      <sz val="11"/>
      <color theme="9" tint="-0.499984740745262"/>
      <name val="Yu Gothic UI Semibold"/>
      <family val="2"/>
      <charset val="128"/>
    </font>
    <font>
      <sz val="12"/>
      <color theme="0" tint="-0.499984740745262"/>
      <name val="Yu Gothic UI Semibold"/>
      <family val="2"/>
      <charset val="128"/>
    </font>
    <font>
      <sz val="10"/>
      <color theme="0" tint="-0.499984740745262"/>
      <name val="Yu Gothic UI Semibold"/>
      <family val="2"/>
      <charset val="128"/>
    </font>
    <font>
      <sz val="8"/>
      <color theme="9" tint="-0.499984740745262"/>
      <name val="Yu Gothic UI Semibold"/>
      <family val="2"/>
      <charset val="128"/>
    </font>
    <font>
      <sz val="12"/>
      <color theme="0" tint="-0.499984740745262"/>
      <name val="TKTypeRegular"/>
      <family val="1"/>
    </font>
    <font>
      <b/>
      <sz val="16"/>
      <name val="Yu Gothic UI Light"/>
      <family val="2"/>
      <charset val="128"/>
    </font>
    <font>
      <sz val="12"/>
      <color theme="1" tint="0.499984740745262"/>
      <name val="Yu Gothic UI Light"/>
      <family val="2"/>
      <charset val="128"/>
    </font>
    <font>
      <i/>
      <sz val="12"/>
      <color theme="1"/>
      <name val="Yu Gothic UI Light"/>
      <family val="2"/>
      <charset val="128"/>
    </font>
    <font>
      <sz val="9"/>
      <color theme="1" tint="0.499984740745262"/>
      <name val="Yu Gothic UI Light"/>
      <family val="2"/>
      <charset val="128"/>
    </font>
    <font>
      <sz val="9"/>
      <color theme="1" tint="0.499984740745262"/>
      <name val="微软雅黑"/>
      <family val="2"/>
      <charset val="134"/>
    </font>
    <font>
      <sz val="10.5"/>
      <color theme="1"/>
      <name val="Yu Gothic UI Light"/>
      <family val="2"/>
      <charset val="128"/>
    </font>
    <font>
      <sz val="10"/>
      <name val="微软雅黑"/>
      <family val="2"/>
      <charset val="134"/>
    </font>
    <font>
      <sz val="11"/>
      <color theme="1"/>
      <name val="Yu Gothic UI Light"/>
      <family val="2"/>
      <charset val="128"/>
    </font>
    <font>
      <b/>
      <sz val="11"/>
      <color theme="0"/>
      <name val="Yu Gothic UI Light"/>
      <family val="2"/>
      <charset val="128"/>
    </font>
    <font>
      <b/>
      <sz val="10"/>
      <color rgb="FFFFB3B3"/>
      <name val="Yu Gothic UI Light"/>
      <family val="2"/>
      <charset val="128"/>
    </font>
    <font>
      <sz val="10"/>
      <color theme="1" tint="0.499984740745262"/>
      <name val="Yu Gothic UI Light"/>
      <family val="2"/>
      <charset val="128"/>
    </font>
    <font>
      <sz val="10"/>
      <color rgb="FFFF0000"/>
      <name val="Yu Gothic UI Light"/>
      <family val="2"/>
      <charset val="128"/>
    </font>
    <font>
      <sz val="10"/>
      <color theme="0" tint="-0.499984740745262"/>
      <name val="Yu Gothic UI Light"/>
      <family val="2"/>
      <charset val="128"/>
    </font>
    <font>
      <b/>
      <sz val="10"/>
      <color rgb="FFFF0000"/>
      <name val="Yu Gothic UI Semibold"/>
      <family val="2"/>
      <charset val="128"/>
    </font>
    <font>
      <sz val="10"/>
      <name val="宋体"/>
      <family val="3"/>
      <charset val="134"/>
    </font>
    <font>
      <sz val="10"/>
      <color rgb="FFFF0000"/>
      <name val="宋体"/>
      <family val="3"/>
      <charset val="134"/>
    </font>
    <font>
      <sz val="10"/>
      <color theme="1"/>
      <name val="TKTypeRegular"/>
      <family val="1"/>
    </font>
    <font>
      <sz val="10"/>
      <color theme="4"/>
      <name val="TKTypeRegular"/>
      <family val="1"/>
    </font>
    <font>
      <sz val="10"/>
      <color rgb="FFFF0000"/>
      <name val="TKTypeRegular"/>
      <family val="1"/>
    </font>
    <font>
      <sz val="11"/>
      <color theme="1"/>
      <name val="宋体"/>
      <family val="3"/>
      <charset val="134"/>
      <scheme val="minor"/>
    </font>
    <font>
      <sz val="12"/>
      <name val="新細明體"/>
      <charset val="136"/>
    </font>
    <font>
      <b/>
      <sz val="12"/>
      <color theme="1"/>
      <name val="黑体"/>
      <family val="3"/>
      <charset val="134"/>
    </font>
    <font>
      <vertAlign val="subscript"/>
      <sz val="12"/>
      <color theme="1"/>
      <name val="Yu Gothic UI"/>
      <family val="2"/>
      <charset val="128"/>
    </font>
    <font>
      <vertAlign val="subscript"/>
      <sz val="12"/>
      <name val="Yu Gothic UI"/>
      <family val="2"/>
      <charset val="128"/>
    </font>
    <font>
      <sz val="10"/>
      <name val="黑体"/>
      <family val="3"/>
      <charset val="134"/>
    </font>
    <font>
      <sz val="12"/>
      <color theme="1"/>
      <name val="微软雅黑"/>
      <family val="2"/>
      <charset val="134"/>
    </font>
    <font>
      <b/>
      <sz val="10"/>
      <name val="黑体"/>
      <family val="3"/>
      <charset val="134"/>
    </font>
    <font>
      <sz val="10"/>
      <color theme="0"/>
      <name val="黑体"/>
      <family val="3"/>
      <charset val="134"/>
    </font>
    <font>
      <b/>
      <sz val="10"/>
      <name val="TKTypeRegular"/>
      <family val="1"/>
    </font>
    <font>
      <vertAlign val="subscript"/>
      <sz val="10"/>
      <name val="Yu Gothic UI"/>
      <family val="2"/>
      <charset val="128"/>
    </font>
    <font>
      <b/>
      <sz val="12"/>
      <name val="微软雅黑"/>
      <family val="2"/>
      <charset val="134"/>
    </font>
    <font>
      <sz val="10"/>
      <color theme="1"/>
      <name val="黑体"/>
      <family val="3"/>
      <charset val="134"/>
    </font>
    <font>
      <sz val="10"/>
      <color rgb="FF0070C0"/>
      <name val="黑体"/>
      <family val="3"/>
      <charset val="134"/>
    </font>
    <font>
      <b/>
      <sz val="10"/>
      <name val="微软雅黑"/>
      <family val="2"/>
      <charset val="134"/>
    </font>
    <font>
      <b/>
      <vertAlign val="superscript"/>
      <sz val="10"/>
      <name val="Yu Gothic UI"/>
      <family val="2"/>
      <charset val="128"/>
    </font>
    <font>
      <b/>
      <sz val="7"/>
      <name val="黑体"/>
      <family val="3"/>
      <charset val="134"/>
    </font>
    <font>
      <sz val="12"/>
      <color theme="1" tint="4.9989318521683403E-2"/>
      <name val="微软雅黑"/>
      <family val="2"/>
      <charset val="134"/>
    </font>
    <font>
      <sz val="10"/>
      <color theme="1"/>
      <name val="微软雅黑"/>
      <family val="2"/>
      <charset val="134"/>
    </font>
    <font>
      <vertAlign val="subscript"/>
      <sz val="12"/>
      <name val="宋体"/>
      <family val="3"/>
      <charset val="134"/>
    </font>
    <font>
      <b/>
      <sz val="10"/>
      <name val="宋体"/>
      <family val="3"/>
      <charset val="134"/>
    </font>
    <font>
      <sz val="11"/>
      <name val="宋体"/>
      <family val="3"/>
      <charset val="134"/>
    </font>
    <font>
      <sz val="12"/>
      <color theme="1"/>
      <name val="宋体"/>
      <family val="3"/>
      <charset val="134"/>
    </font>
    <font>
      <sz val="10"/>
      <color theme="1" tint="0.34998626667073579"/>
      <name val="Yu Gothic UI Semibold"/>
      <family val="2"/>
      <charset val="128"/>
    </font>
    <font>
      <vertAlign val="subscript"/>
      <sz val="10"/>
      <color theme="1"/>
      <name val="微软雅黑"/>
      <family val="2"/>
      <charset val="134"/>
    </font>
    <font>
      <vertAlign val="subscript"/>
      <sz val="10"/>
      <color theme="1"/>
      <name val="Yu Gothic UI"/>
      <family val="2"/>
      <charset val="128"/>
    </font>
    <font>
      <vertAlign val="superscript"/>
      <sz val="10"/>
      <color theme="1"/>
      <name val="Yu Gothic UI"/>
      <family val="2"/>
      <charset val="128"/>
    </font>
    <font>
      <sz val="10"/>
      <color theme="1"/>
      <name val="宋体"/>
      <family val="3"/>
      <charset val="134"/>
    </font>
    <font>
      <vertAlign val="superscript"/>
      <sz val="12"/>
      <name val="Yu Gothic UI"/>
      <family val="2"/>
      <charset val="128"/>
    </font>
    <font>
      <sz val="10"/>
      <color theme="1" tint="0.249977111117893"/>
      <name val="Yu Gothic UI Semibold"/>
      <family val="2"/>
      <charset val="128"/>
    </font>
    <font>
      <sz val="12"/>
      <color theme="0" tint="-0.499984740745262"/>
      <name val="宋体"/>
      <family val="3"/>
      <charset val="134"/>
    </font>
    <font>
      <b/>
      <sz val="10"/>
      <color theme="1"/>
      <name val="宋体"/>
      <family val="3"/>
      <charset val="134"/>
    </font>
    <font>
      <sz val="12"/>
      <name val="等线"/>
      <family val="3"/>
      <charset val="134"/>
    </font>
    <font>
      <vertAlign val="superscript"/>
      <sz val="10"/>
      <name val="黑体"/>
      <family val="3"/>
      <charset val="134"/>
    </font>
    <font>
      <sz val="8"/>
      <name val="黑体"/>
      <family val="3"/>
      <charset val="134"/>
    </font>
    <font>
      <vertAlign val="subscript"/>
      <sz val="8"/>
      <name val="Yu Gothic UI"/>
      <family val="2"/>
      <charset val="128"/>
    </font>
    <font>
      <sz val="10"/>
      <color theme="1" tint="0.499984740745262"/>
      <name val="宋体"/>
      <family val="3"/>
      <charset val="134"/>
    </font>
    <font>
      <b/>
      <sz val="16"/>
      <color theme="1"/>
      <name val="黑体"/>
      <family val="3"/>
      <charset val="134"/>
    </font>
    <font>
      <b/>
      <sz val="16"/>
      <color theme="1"/>
      <name val="Yu Gothic UI Semilight"/>
      <family val="2"/>
      <charset val="128"/>
    </font>
    <font>
      <sz val="10"/>
      <color theme="0" tint="-0.499984740745262"/>
      <name val="宋体"/>
      <family val="3"/>
      <charset val="134"/>
    </font>
    <font>
      <sz val="12"/>
      <name val="黑体"/>
      <family val="3"/>
      <charset val="134"/>
    </font>
    <font>
      <b/>
      <sz val="9"/>
      <name val="黑体"/>
      <family val="3"/>
      <charset val="134"/>
    </font>
    <font>
      <vertAlign val="subscript"/>
      <sz val="12"/>
      <name val="微软雅黑"/>
      <family val="2"/>
      <charset val="134"/>
    </font>
    <font>
      <b/>
      <sz val="9"/>
      <name val="宋体"/>
      <family val="3"/>
      <charset val="134"/>
    </font>
    <font>
      <sz val="9"/>
      <name val="宋体"/>
      <family val="3"/>
      <charset val="134"/>
    </font>
    <font>
      <sz val="12"/>
      <name val="宋体"/>
      <family val="3"/>
      <charset val="134"/>
    </font>
    <font>
      <sz val="12"/>
      <name val="Yu Gothic UI"/>
      <family val="2"/>
      <charset val="128"/>
    </font>
    <font>
      <b/>
      <sz val="12"/>
      <name val="Yu Gothic UI"/>
      <family val="2"/>
      <charset val="128"/>
    </font>
    <font>
      <sz val="12"/>
      <name val="微软雅黑"/>
      <family val="2"/>
      <charset val="134"/>
    </font>
    <font>
      <sz val="10"/>
      <name val="Yu Gothic UI"/>
      <family val="2"/>
      <charset val="128"/>
    </font>
    <font>
      <sz val="12"/>
      <color theme="1" tint="4.9989318521683403E-2"/>
      <name val="Yu Gothic UI"/>
      <family val="2"/>
      <charset val="128"/>
    </font>
    <font>
      <sz val="12"/>
      <color theme="0" tint="-0.499984740745262"/>
      <name val="Yu Gothic UI"/>
      <family val="2"/>
      <charset val="128"/>
    </font>
    <font>
      <sz val="12"/>
      <color theme="1"/>
      <name val="Yu Gothic UI"/>
      <family val="2"/>
      <charset val="128"/>
    </font>
    <font>
      <sz val="11"/>
      <name val="Yu Gothic UI"/>
      <family val="2"/>
      <charset val="128"/>
    </font>
    <font>
      <b/>
      <sz val="10"/>
      <name val="Yu Gothic UI"/>
      <family val="2"/>
      <charset val="128"/>
    </font>
    <font>
      <sz val="10"/>
      <color theme="0"/>
      <name val="Yu Gothic UI"/>
      <family val="2"/>
      <charset val="128"/>
    </font>
    <font>
      <sz val="10"/>
      <color theme="1"/>
      <name val="Yu Gothic UI"/>
      <family val="2"/>
      <charset val="128"/>
    </font>
    <font>
      <vertAlign val="superscript"/>
      <sz val="10"/>
      <name val="Yu Gothic UI"/>
      <family val="2"/>
      <charset val="128"/>
    </font>
    <font>
      <sz val="10"/>
      <color theme="0" tint="-0.499984740745262"/>
      <name val="Yu Gothic UI"/>
      <family val="2"/>
      <charset val="128"/>
    </font>
    <font>
      <b/>
      <sz val="9"/>
      <name val="Yu Gothic UI"/>
      <family val="2"/>
      <charset val="128"/>
    </font>
    <font>
      <b/>
      <sz val="10"/>
      <color theme="1"/>
      <name val="Yu Gothic UI"/>
      <family val="2"/>
      <charset val="128"/>
    </font>
    <font>
      <sz val="8"/>
      <name val="Yu Gothic UI"/>
      <family val="2"/>
      <charset val="128"/>
    </font>
    <font>
      <b/>
      <sz val="12"/>
      <color theme="1"/>
      <name val="Yu Gothic UI"/>
      <family val="2"/>
      <charset val="128"/>
    </font>
    <font>
      <b/>
      <sz val="7"/>
      <name val="Yu Gothic UI"/>
      <family val="2"/>
      <charset val="128"/>
    </font>
    <font>
      <sz val="10"/>
      <color rgb="FF000000"/>
      <name val="Yu Gothic UI Light"/>
      <family val="2"/>
      <charset val="128"/>
    </font>
  </fonts>
  <fills count="14">
    <fill>
      <patternFill patternType="none"/>
    </fill>
    <fill>
      <patternFill patternType="gray125"/>
    </fill>
    <fill>
      <patternFill patternType="solid">
        <fgColor theme="4" tint="-0.249977111117893"/>
        <bgColor indexed="64"/>
      </patternFill>
    </fill>
    <fill>
      <patternFill patternType="solid">
        <fgColor rgb="FFFFFF00"/>
        <bgColor indexed="64"/>
      </patternFill>
    </fill>
    <fill>
      <patternFill patternType="solid">
        <fgColor rgb="FFFFFF66"/>
        <bgColor indexed="64"/>
      </patternFill>
    </fill>
    <fill>
      <patternFill patternType="solid">
        <fgColor theme="3" tint="-0.249977111117893"/>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9" tint="-0.249977111117893"/>
        <bgColor indexed="64"/>
      </patternFill>
    </fill>
    <fill>
      <patternFill patternType="solid">
        <fgColor theme="4" tint="0.79995117038483843"/>
        <bgColor indexed="64"/>
      </patternFill>
    </fill>
    <fill>
      <patternFill patternType="solid">
        <fgColor rgb="FF43FF98"/>
        <bgColor indexed="64"/>
      </patternFill>
    </fill>
    <fill>
      <patternFill patternType="solid">
        <fgColor theme="0" tint="-0.249977111117893"/>
        <bgColor indexed="64"/>
      </patternFill>
    </fill>
  </fills>
  <borders count="42">
    <border>
      <left/>
      <right/>
      <top/>
      <bottom/>
      <diagonal/>
    </border>
    <border>
      <left style="thin">
        <color auto="1"/>
      </left>
      <right style="thin">
        <color auto="1"/>
      </right>
      <top style="thin">
        <color auto="1"/>
      </top>
      <bottom style="thin">
        <color auto="1"/>
      </bottom>
      <diagonal/>
    </border>
    <border diagonalDown="1">
      <left style="thin">
        <color auto="1"/>
      </left>
      <right style="thin">
        <color auto="1"/>
      </right>
      <top style="thin">
        <color auto="1"/>
      </top>
      <bottom style="thin">
        <color auto="1"/>
      </bottom>
      <diagonal style="thin">
        <color auto="1"/>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style="thin">
        <color auto="1"/>
      </top>
      <bottom/>
      <diagonal/>
    </border>
    <border>
      <left style="double">
        <color auto="1"/>
      </left>
      <right/>
      <top style="double">
        <color auto="1"/>
      </top>
      <bottom/>
      <diagonal/>
    </border>
    <border>
      <left/>
      <right/>
      <top style="double">
        <color auto="1"/>
      </top>
      <bottom/>
      <diagonal/>
    </border>
    <border>
      <left style="double">
        <color auto="1"/>
      </left>
      <right/>
      <top/>
      <bottom/>
      <diagonal/>
    </border>
    <border diagonalDown="1">
      <left style="double">
        <color auto="1"/>
      </left>
      <right style="thin">
        <color auto="1"/>
      </right>
      <top style="thin">
        <color auto="1"/>
      </top>
      <bottom style="thin">
        <color auto="1"/>
      </bottom>
      <diagonal style="thin">
        <color auto="1"/>
      </diagonal>
    </border>
    <border>
      <left style="double">
        <color auto="1"/>
      </left>
      <right style="thin">
        <color auto="1"/>
      </right>
      <top style="thin">
        <color auto="1"/>
      </top>
      <bottom style="thin">
        <color auto="1"/>
      </bottom>
      <diagonal/>
    </border>
    <border>
      <left/>
      <right style="double">
        <color auto="1"/>
      </right>
      <top style="double">
        <color auto="1"/>
      </top>
      <bottom/>
      <diagonal/>
    </border>
    <border>
      <left/>
      <right style="double">
        <color auto="1"/>
      </right>
      <top/>
      <bottom/>
      <diagonal/>
    </border>
    <border>
      <left style="thin">
        <color auto="1"/>
      </left>
      <right style="double">
        <color auto="1"/>
      </right>
      <top style="thin">
        <color auto="1"/>
      </top>
      <bottom style="thin">
        <color auto="1"/>
      </bottom>
      <diagonal/>
    </border>
    <border>
      <left style="thin">
        <color auto="1"/>
      </left>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thin">
        <color auto="1"/>
      </left>
      <right/>
      <top style="thin">
        <color auto="1"/>
      </top>
      <bottom style="double">
        <color auto="1"/>
      </bottom>
      <diagonal/>
    </border>
    <border>
      <left style="thick">
        <color theme="0"/>
      </left>
      <right/>
      <top style="thin">
        <color auto="1"/>
      </top>
      <bottom style="thin">
        <color auto="1"/>
      </bottom>
      <diagonal/>
    </border>
    <border>
      <left/>
      <right/>
      <top style="thin">
        <color auto="1"/>
      </top>
      <bottom style="thin">
        <color auto="1"/>
      </bottom>
      <diagonal/>
    </border>
    <border>
      <left style="thick">
        <color theme="0"/>
      </left>
      <right/>
      <top/>
      <bottom/>
      <diagonal/>
    </border>
    <border>
      <left style="thick">
        <color theme="0"/>
      </left>
      <right/>
      <top/>
      <bottom style="thin">
        <color auto="1"/>
      </bottom>
      <diagonal/>
    </border>
    <border>
      <left/>
      <right/>
      <top/>
      <bottom style="thin">
        <color auto="1"/>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top/>
      <bottom style="thin">
        <color theme="0"/>
      </bottom>
      <diagonal/>
    </border>
    <border>
      <left style="thin">
        <color theme="0"/>
      </left>
      <right/>
      <top style="thick">
        <color theme="0"/>
      </top>
      <bottom style="thin">
        <color theme="0"/>
      </bottom>
      <diagonal/>
    </border>
    <border>
      <left/>
      <right/>
      <top style="thick">
        <color theme="0"/>
      </top>
      <bottom style="thin">
        <color theme="0"/>
      </bottom>
      <diagonal/>
    </border>
    <border>
      <left style="thin">
        <color theme="0"/>
      </left>
      <right/>
      <top style="thin">
        <color theme="0"/>
      </top>
      <bottom/>
      <diagonal/>
    </border>
    <border>
      <left/>
      <right/>
      <top style="thin">
        <color theme="0"/>
      </top>
      <bottom/>
      <diagonal/>
    </border>
    <border>
      <left style="thin">
        <color theme="0"/>
      </left>
      <right/>
      <top/>
      <bottom style="dashed">
        <color theme="0"/>
      </bottom>
      <diagonal/>
    </border>
    <border>
      <left/>
      <right/>
      <top/>
      <bottom style="dashed">
        <color theme="0"/>
      </bottom>
      <diagonal/>
    </border>
    <border>
      <left style="thin">
        <color theme="0"/>
      </left>
      <right/>
      <top/>
      <bottom/>
      <diagonal/>
    </border>
    <border>
      <left/>
      <right style="thin">
        <color theme="0"/>
      </right>
      <top style="thin">
        <color theme="0"/>
      </top>
      <bottom style="thin">
        <color theme="0"/>
      </bottom>
      <diagonal/>
    </border>
    <border>
      <left/>
      <right style="thin">
        <color theme="0"/>
      </right>
      <top style="thick">
        <color theme="0"/>
      </top>
      <bottom style="thin">
        <color theme="0"/>
      </bottom>
      <diagonal/>
    </border>
    <border>
      <left/>
      <right style="thin">
        <color theme="0"/>
      </right>
      <top/>
      <bottom/>
      <diagonal/>
    </border>
  </borders>
  <cellStyleXfs count="11">
    <xf numFmtId="0" fontId="0" fillId="0" borderId="0"/>
    <xf numFmtId="43" fontId="146" fillId="0" borderId="0" applyFont="0" applyFill="0" applyBorder="0" applyAlignment="0" applyProtection="0"/>
    <xf numFmtId="0" fontId="146" fillId="0" borderId="0"/>
    <xf numFmtId="0" fontId="101" fillId="0" borderId="0">
      <alignment vertical="center"/>
    </xf>
    <xf numFmtId="0" fontId="146" fillId="0" borderId="0"/>
    <xf numFmtId="0" fontId="146" fillId="0" borderId="0"/>
    <xf numFmtId="0" fontId="146" fillId="0" borderId="0"/>
    <xf numFmtId="0" fontId="146" fillId="0" borderId="0"/>
    <xf numFmtId="0" fontId="146" fillId="0" borderId="0"/>
    <xf numFmtId="0" fontId="101" fillId="0" borderId="0">
      <alignment vertical="center"/>
    </xf>
    <xf numFmtId="0" fontId="102" fillId="0" borderId="0"/>
  </cellStyleXfs>
  <cellXfs count="311">
    <xf numFmtId="0" fontId="0" fillId="0" borderId="0" xfId="0"/>
    <xf numFmtId="0" fontId="0" fillId="0" borderId="0" xfId="0" applyAlignment="1">
      <alignment vertical="center"/>
    </xf>
    <xf numFmtId="0" fontId="1" fillId="0" borderId="0" xfId="0" applyFont="1" applyAlignment="1">
      <alignment vertical="center"/>
    </xf>
    <xf numFmtId="0" fontId="2" fillId="0" borderId="0" xfId="0" applyFont="1"/>
    <xf numFmtId="0" fontId="3" fillId="2" borderId="1" xfId="3" applyFont="1" applyFill="1" applyBorder="1" applyAlignment="1">
      <alignment horizontal="center" vertical="center"/>
    </xf>
    <xf numFmtId="0" fontId="3" fillId="2" borderId="1" xfId="3" applyFont="1" applyFill="1" applyBorder="1" applyAlignment="1">
      <alignment horizontal="center" vertical="center" shrinkToFit="1"/>
    </xf>
    <xf numFmtId="14" fontId="3" fillId="2" borderId="1" xfId="3" applyNumberFormat="1" applyFont="1" applyFill="1" applyBorder="1" applyAlignment="1">
      <alignment horizontal="center" vertical="center"/>
    </xf>
    <xf numFmtId="0" fontId="4" fillId="0" borderId="1" xfId="3" applyFont="1" applyBorder="1" applyAlignment="1">
      <alignment horizontal="center" vertical="center" wrapText="1"/>
    </xf>
    <xf numFmtId="0" fontId="4" fillId="0" borderId="1" xfId="3" applyFont="1" applyBorder="1" applyAlignment="1">
      <alignment horizontal="left" vertical="center" wrapText="1"/>
    </xf>
    <xf numFmtId="14" fontId="4" fillId="0" borderId="1" xfId="3" applyNumberFormat="1" applyFont="1" applyBorder="1" applyAlignment="1">
      <alignment horizontal="center" vertical="center"/>
    </xf>
    <xf numFmtId="0" fontId="4" fillId="0" borderId="1" xfId="3" applyFont="1" applyBorder="1" applyAlignment="1">
      <alignment horizontal="center" vertical="center"/>
    </xf>
    <xf numFmtId="0" fontId="5" fillId="0" borderId="1" xfId="0" applyFont="1" applyBorder="1" applyAlignment="1">
      <alignment vertical="center"/>
    </xf>
    <xf numFmtId="0" fontId="6" fillId="0" borderId="1" xfId="3" applyFont="1" applyBorder="1" applyAlignment="1">
      <alignment horizontal="left" vertical="center" wrapText="1"/>
    </xf>
    <xf numFmtId="0" fontId="6" fillId="0" borderId="1" xfId="0" applyFont="1" applyBorder="1" applyAlignment="1">
      <alignment horizontal="center" vertical="center"/>
    </xf>
    <xf numFmtId="0" fontId="6" fillId="0" borderId="0" xfId="0" applyFont="1" applyAlignment="1">
      <alignment vertical="center"/>
    </xf>
    <xf numFmtId="0" fontId="7" fillId="0" borderId="0" xfId="0" applyFont="1" applyAlignment="1">
      <alignment vertical="center"/>
    </xf>
    <xf numFmtId="0" fontId="6" fillId="0" borderId="1" xfId="0" applyFont="1" applyBorder="1" applyAlignment="1">
      <alignment horizontal="center" vertical="center" wrapText="1"/>
    </xf>
    <xf numFmtId="0" fontId="6" fillId="0" borderId="2" xfId="0" applyFont="1" applyBorder="1" applyAlignment="1">
      <alignment horizontal="center" vertical="center"/>
    </xf>
    <xf numFmtId="0" fontId="4" fillId="0" borderId="0" xfId="0" applyFont="1" applyAlignment="1">
      <alignment vertical="center"/>
    </xf>
    <xf numFmtId="0" fontId="4" fillId="0" borderId="1" xfId="0" applyFont="1" applyBorder="1" applyAlignment="1">
      <alignment horizontal="center" vertical="center"/>
    </xf>
    <xf numFmtId="0" fontId="8" fillId="0" borderId="1" xfId="0" applyFont="1" applyBorder="1" applyAlignment="1">
      <alignment horizontal="center" vertical="center"/>
    </xf>
    <xf numFmtId="0" fontId="4" fillId="0" borderId="1" xfId="0" applyFont="1" applyBorder="1" applyAlignment="1">
      <alignment horizontal="center" vertical="center" shrinkToFit="1"/>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4" fillId="0" borderId="0" xfId="0" applyFont="1" applyAlignment="1">
      <alignment horizontal="center" vertical="center"/>
    </xf>
    <xf numFmtId="0" fontId="11" fillId="0" borderId="0" xfId="0" applyFont="1" applyAlignment="1">
      <alignment horizontal="left" vertical="center"/>
    </xf>
    <xf numFmtId="0" fontId="12" fillId="0" borderId="0" xfId="0" applyFont="1" applyAlignment="1">
      <alignment horizontal="center" vertical="center"/>
    </xf>
    <xf numFmtId="0" fontId="4" fillId="3" borderId="1" xfId="0" applyFont="1" applyFill="1" applyBorder="1" applyAlignment="1">
      <alignment horizontal="center" vertical="center"/>
    </xf>
    <xf numFmtId="0" fontId="7" fillId="0" borderId="0" xfId="0" applyFont="1" applyAlignment="1">
      <alignment horizontal="left" vertical="center"/>
    </xf>
    <xf numFmtId="0" fontId="6" fillId="0" borderId="1" xfId="0" applyFont="1" applyBorder="1" applyAlignment="1">
      <alignment vertical="center"/>
    </xf>
    <xf numFmtId="0" fontId="13" fillId="0" borderId="1" xfId="0" applyFont="1" applyBorder="1" applyAlignment="1">
      <alignment horizontal="center" vertical="center"/>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0" xfId="0" applyFont="1" applyAlignment="1">
      <alignment vertical="center"/>
    </xf>
    <xf numFmtId="0" fontId="4" fillId="0" borderId="0" xfId="0" applyFont="1" applyAlignment="1">
      <alignment horizontal="left" vertical="center"/>
    </xf>
    <xf numFmtId="0" fontId="7" fillId="0" borderId="0" xfId="0" applyFont="1" applyAlignment="1">
      <alignment vertical="center" wrapText="1"/>
    </xf>
    <xf numFmtId="0" fontId="17" fillId="0" borderId="0" xfId="0" applyFont="1" applyAlignment="1">
      <alignment vertical="center" wrapText="1"/>
    </xf>
    <xf numFmtId="0" fontId="18" fillId="0" borderId="1" xfId="0" applyFont="1" applyBorder="1" applyAlignment="1">
      <alignment horizontal="center" vertical="center"/>
    </xf>
    <xf numFmtId="0" fontId="19" fillId="0" borderId="1" xfId="0" applyFont="1" applyBorder="1" applyAlignment="1">
      <alignment horizontal="center" vertical="center"/>
    </xf>
    <xf numFmtId="0" fontId="20" fillId="0" borderId="1" xfId="0" applyFont="1" applyBorder="1" applyAlignment="1">
      <alignment horizontal="center" vertical="center"/>
    </xf>
    <xf numFmtId="0" fontId="4" fillId="4" borderId="1" xfId="0" applyFont="1" applyFill="1" applyBorder="1" applyAlignment="1">
      <alignment horizontal="center" vertical="center"/>
    </xf>
    <xf numFmtId="0" fontId="21" fillId="0" borderId="1" xfId="0" applyFont="1" applyBorder="1" applyAlignment="1">
      <alignment horizontal="center" vertical="center" wrapText="1"/>
    </xf>
    <xf numFmtId="0" fontId="21" fillId="0" borderId="1" xfId="0" applyFont="1" applyBorder="1" applyAlignment="1">
      <alignment vertical="center" wrapText="1"/>
    </xf>
    <xf numFmtId="0" fontId="14" fillId="0" borderId="0" xfId="0" applyFont="1" applyAlignment="1">
      <alignment horizontal="center" vertical="center"/>
    </xf>
    <xf numFmtId="0" fontId="21" fillId="0" borderId="0" xfId="0" applyFont="1" applyAlignment="1">
      <alignment vertical="center"/>
    </xf>
    <xf numFmtId="0" fontId="22" fillId="0" borderId="1" xfId="0" applyFont="1" applyBorder="1" applyAlignment="1">
      <alignment horizontal="center" vertical="center"/>
    </xf>
    <xf numFmtId="178" fontId="6" fillId="0" borderId="1" xfId="0" applyNumberFormat="1" applyFont="1" applyBorder="1" applyAlignment="1">
      <alignment horizontal="center" vertical="center"/>
    </xf>
    <xf numFmtId="179" fontId="6" fillId="0" borderId="1" xfId="0" applyNumberFormat="1" applyFont="1" applyBorder="1" applyAlignment="1">
      <alignment horizontal="center" vertical="center"/>
    </xf>
    <xf numFmtId="180" fontId="6" fillId="0" borderId="1" xfId="0" applyNumberFormat="1" applyFont="1" applyBorder="1" applyAlignment="1">
      <alignment horizontal="center" vertical="center"/>
    </xf>
    <xf numFmtId="179" fontId="8" fillId="0" borderId="1" xfId="0" applyNumberFormat="1" applyFont="1" applyBorder="1" applyAlignment="1">
      <alignment horizontal="center" vertical="center"/>
    </xf>
    <xf numFmtId="0" fontId="6" fillId="0" borderId="0" xfId="0" applyFont="1" applyAlignment="1">
      <alignment horizontal="center" vertical="center"/>
    </xf>
    <xf numFmtId="180" fontId="6" fillId="0" borderId="0" xfId="0" applyNumberFormat="1" applyFont="1" applyAlignment="1">
      <alignment horizontal="center" vertical="center"/>
    </xf>
    <xf numFmtId="0" fontId="7" fillId="0" borderId="12" xfId="0" applyFont="1" applyBorder="1" applyAlignment="1">
      <alignment vertical="center"/>
    </xf>
    <xf numFmtId="0" fontId="4" fillId="6" borderId="13" xfId="0" applyFont="1" applyFill="1" applyBorder="1" applyAlignment="1">
      <alignment horizontal="center" vertical="center"/>
    </xf>
    <xf numFmtId="0" fontId="4" fillId="6" borderId="1" xfId="0" applyFont="1" applyFill="1" applyBorder="1" applyAlignment="1">
      <alignment horizontal="center" vertical="center"/>
    </xf>
    <xf numFmtId="178" fontId="6" fillId="0" borderId="9" xfId="0" applyNumberFormat="1" applyFont="1" applyBorder="1" applyAlignment="1">
      <alignment horizontal="center" vertical="center"/>
    </xf>
    <xf numFmtId="180" fontId="4" fillId="6" borderId="14" xfId="0" applyNumberFormat="1" applyFont="1" applyFill="1" applyBorder="1" applyAlignment="1">
      <alignment horizontal="center" vertical="center"/>
    </xf>
    <xf numFmtId="178" fontId="6" fillId="0" borderId="0" xfId="0" applyNumberFormat="1" applyFont="1" applyAlignment="1">
      <alignment horizontal="center" vertical="center"/>
    </xf>
    <xf numFmtId="0" fontId="4" fillId="0" borderId="12" xfId="0" applyFont="1" applyBorder="1" applyAlignment="1">
      <alignment vertical="center"/>
    </xf>
    <xf numFmtId="0" fontId="22" fillId="0" borderId="0" xfId="0" applyFont="1" applyAlignment="1">
      <alignment horizontal="center" vertical="center"/>
    </xf>
    <xf numFmtId="179" fontId="6" fillId="0" borderId="0" xfId="0" applyNumberFormat="1" applyFont="1" applyAlignment="1">
      <alignment horizontal="center" vertical="center"/>
    </xf>
    <xf numFmtId="179" fontId="8" fillId="0" borderId="0" xfId="0" applyNumberFormat="1" applyFont="1" applyAlignment="1">
      <alignment horizontal="center" vertical="center"/>
    </xf>
    <xf numFmtId="180" fontId="4" fillId="6" borderId="13" xfId="0" applyNumberFormat="1" applyFont="1" applyFill="1" applyBorder="1" applyAlignment="1">
      <alignment horizontal="left" vertical="center"/>
    </xf>
    <xf numFmtId="0" fontId="19" fillId="0" borderId="0" xfId="0" applyFont="1" applyAlignment="1">
      <alignment horizontal="center" vertical="center"/>
    </xf>
    <xf numFmtId="0" fontId="4" fillId="0" borderId="12" xfId="0" applyFont="1" applyBorder="1" applyAlignment="1">
      <alignment horizontal="left" vertical="center"/>
    </xf>
    <xf numFmtId="0" fontId="6" fillId="0" borderId="12" xfId="0" applyFont="1" applyBorder="1" applyAlignment="1">
      <alignment vertical="center"/>
    </xf>
    <xf numFmtId="0" fontId="23" fillId="0" borderId="0" xfId="0" applyFont="1" applyAlignment="1">
      <alignment horizontal="center" vertical="center"/>
    </xf>
    <xf numFmtId="0" fontId="4" fillId="0" borderId="16" xfId="0" applyFont="1" applyBorder="1" applyAlignment="1">
      <alignment vertical="center"/>
    </xf>
    <xf numFmtId="0" fontId="4" fillId="6" borderId="17" xfId="0" applyFont="1" applyFill="1" applyBorder="1" applyAlignment="1">
      <alignment horizontal="center" vertical="center"/>
    </xf>
    <xf numFmtId="0" fontId="6" fillId="0" borderId="16" xfId="0" applyFont="1" applyBorder="1" applyAlignment="1">
      <alignment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6" borderId="18" xfId="0" applyFont="1" applyFill="1" applyBorder="1" applyAlignment="1">
      <alignment horizontal="center" vertical="center"/>
    </xf>
    <xf numFmtId="0" fontId="4" fillId="0" borderId="18" xfId="0" applyFont="1" applyBorder="1" applyAlignment="1">
      <alignment horizontal="center" vertical="center"/>
    </xf>
    <xf numFmtId="0" fontId="19" fillId="0" borderId="16" xfId="0" applyFont="1" applyBorder="1" applyAlignment="1">
      <alignment horizontal="center" vertical="center"/>
    </xf>
    <xf numFmtId="180" fontId="4" fillId="0" borderId="12" xfId="0" applyNumberFormat="1" applyFont="1" applyBorder="1" applyAlignment="1">
      <alignment horizontal="center" vertical="center"/>
    </xf>
    <xf numFmtId="0" fontId="4" fillId="0" borderId="12" xfId="0" applyFont="1" applyBorder="1" applyAlignment="1">
      <alignment horizontal="center" vertical="center"/>
    </xf>
    <xf numFmtId="0" fontId="24" fillId="5" borderId="11" xfId="0" applyFont="1" applyFill="1" applyBorder="1" applyAlignment="1">
      <alignment horizontal="center" vertical="center"/>
    </xf>
    <xf numFmtId="0" fontId="3" fillId="0" borderId="0" xfId="0" applyFont="1" applyAlignment="1">
      <alignment horizontal="center" vertical="center"/>
    </xf>
    <xf numFmtId="0" fontId="7" fillId="0" borderId="1" xfId="0" applyFont="1" applyBorder="1" applyAlignment="1">
      <alignment horizontal="center" vertical="center"/>
    </xf>
    <xf numFmtId="0" fontId="21" fillId="0" borderId="9" xfId="0" applyFont="1" applyBorder="1" applyAlignment="1">
      <alignment vertical="center"/>
    </xf>
    <xf numFmtId="0" fontId="7" fillId="0" borderId="0" xfId="0" applyFont="1" applyAlignment="1">
      <alignment horizontal="center" vertical="center"/>
    </xf>
    <xf numFmtId="0" fontId="8" fillId="0" borderId="18" xfId="0" applyFont="1" applyBorder="1" applyAlignment="1">
      <alignment horizontal="center" vertical="center"/>
    </xf>
    <xf numFmtId="0" fontId="25" fillId="0" borderId="1" xfId="0" applyFont="1" applyBorder="1" applyAlignment="1">
      <alignment horizontal="center" vertical="center"/>
    </xf>
    <xf numFmtId="0" fontId="14" fillId="0" borderId="18" xfId="0" applyFont="1" applyBorder="1" applyAlignment="1">
      <alignment horizontal="center" vertical="center"/>
    </xf>
    <xf numFmtId="0" fontId="26" fillId="6" borderId="1" xfId="0" applyFont="1" applyFill="1" applyBorder="1" applyAlignment="1">
      <alignment horizontal="center" vertical="center"/>
    </xf>
    <xf numFmtId="0" fontId="7" fillId="0" borderId="18" xfId="0" applyFont="1" applyBorder="1" applyAlignment="1">
      <alignment horizontal="center" vertical="center"/>
    </xf>
    <xf numFmtId="0" fontId="6" fillId="0" borderId="9" xfId="0" applyFont="1" applyBorder="1" applyAlignment="1">
      <alignment vertical="center"/>
    </xf>
    <xf numFmtId="0" fontId="14" fillId="0" borderId="17" xfId="0" applyFont="1" applyBorder="1" applyAlignment="1">
      <alignment horizontal="center" vertical="center"/>
    </xf>
    <xf numFmtId="180" fontId="4" fillId="6" borderId="19" xfId="0" applyNumberFormat="1"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6" fillId="0" borderId="17" xfId="0" applyFont="1" applyBorder="1" applyAlignment="1">
      <alignment horizontal="center" vertical="center"/>
    </xf>
    <xf numFmtId="0" fontId="4" fillId="0" borderId="12" xfId="0" applyFont="1" applyBorder="1" applyAlignment="1">
      <alignment horizontal="left" vertical="center" indent="1"/>
    </xf>
    <xf numFmtId="180" fontId="27" fillId="6" borderId="14" xfId="0" applyNumberFormat="1" applyFont="1" applyFill="1" applyBorder="1" applyAlignment="1">
      <alignment horizontal="center" vertical="center"/>
    </xf>
    <xf numFmtId="0" fontId="10" fillId="0" borderId="0" xfId="0" applyFont="1" applyAlignment="1">
      <alignment horizontal="center" vertical="center"/>
    </xf>
    <xf numFmtId="0" fontId="8" fillId="0" borderId="20" xfId="0" applyFont="1" applyBorder="1" applyAlignment="1">
      <alignment horizontal="center" vertical="center"/>
    </xf>
    <xf numFmtId="0" fontId="7" fillId="0" borderId="20" xfId="0" applyFont="1" applyBorder="1" applyAlignment="1">
      <alignment horizontal="center" vertical="center"/>
    </xf>
    <xf numFmtId="0" fontId="8" fillId="0" borderId="22" xfId="0" applyFont="1" applyBorder="1" applyAlignment="1">
      <alignment horizontal="center" vertical="center"/>
    </xf>
    <xf numFmtId="0" fontId="26" fillId="0" borderId="1" xfId="0" applyFont="1" applyBorder="1" applyAlignment="1">
      <alignment horizontal="center" vertical="center"/>
    </xf>
    <xf numFmtId="0" fontId="26" fillId="0" borderId="20" xfId="0" applyFont="1" applyBorder="1" applyAlignment="1">
      <alignment horizontal="center" vertical="center"/>
    </xf>
    <xf numFmtId="0" fontId="4" fillId="3" borderId="17" xfId="0" applyFont="1" applyFill="1" applyBorder="1" applyAlignment="1">
      <alignment horizontal="center" vertical="center"/>
    </xf>
    <xf numFmtId="0" fontId="2" fillId="0" borderId="0" xfId="0" applyFont="1" applyAlignment="1">
      <alignment vertical="center"/>
    </xf>
    <xf numFmtId="0" fontId="28" fillId="0" borderId="0" xfId="0" applyFont="1" applyAlignment="1">
      <alignment vertical="center"/>
    </xf>
    <xf numFmtId="0" fontId="2" fillId="0" borderId="0" xfId="0" applyFont="1" applyAlignment="1">
      <alignment horizontal="left" vertical="center" wrapText="1"/>
    </xf>
    <xf numFmtId="0" fontId="4" fillId="0" borderId="0" xfId="0" applyFont="1" applyAlignment="1">
      <alignment horizontal="right" vertical="center" indent="1"/>
    </xf>
    <xf numFmtId="0" fontId="31" fillId="0" borderId="0" xfId="0" applyFont="1" applyAlignment="1">
      <alignment vertical="center"/>
    </xf>
    <xf numFmtId="0" fontId="2" fillId="0" borderId="0" xfId="0" applyFont="1" applyAlignment="1">
      <alignment horizontal="center" vertical="center"/>
    </xf>
    <xf numFmtId="0" fontId="32" fillId="0" borderId="0" xfId="0" applyFont="1" applyAlignment="1">
      <alignment horizontal="center" vertical="center"/>
    </xf>
    <xf numFmtId="0" fontId="2" fillId="0" borderId="0" xfId="0" applyFont="1" applyAlignment="1">
      <alignment horizontal="left" vertical="center" indent="1"/>
    </xf>
    <xf numFmtId="0" fontId="33" fillId="0" borderId="0" xfId="0" applyFont="1" applyAlignment="1">
      <alignment horizontal="center" vertical="center"/>
    </xf>
    <xf numFmtId="0" fontId="2" fillId="0" borderId="0" xfId="0" applyFont="1" applyAlignment="1">
      <alignment horizontal="left" vertical="center"/>
    </xf>
    <xf numFmtId="0" fontId="5" fillId="0" borderId="0" xfId="0" applyFont="1" applyAlignment="1">
      <alignment horizontal="center" vertical="center"/>
    </xf>
    <xf numFmtId="0" fontId="2" fillId="0" borderId="0" xfId="0" applyFont="1" applyAlignment="1">
      <alignment horizontal="right" vertical="center"/>
    </xf>
    <xf numFmtId="181" fontId="2" fillId="0" borderId="0" xfId="0" applyNumberFormat="1" applyFont="1" applyAlignment="1">
      <alignment horizontal="center" vertical="center"/>
    </xf>
    <xf numFmtId="180" fontId="2" fillId="0" borderId="0" xfId="0" applyNumberFormat="1" applyFont="1" applyAlignment="1">
      <alignment horizontal="center" vertical="center"/>
    </xf>
    <xf numFmtId="1" fontId="2" fillId="0" borderId="0" xfId="0" applyNumberFormat="1" applyFont="1" applyAlignment="1">
      <alignment horizontal="center" vertical="center"/>
    </xf>
    <xf numFmtId="1" fontId="5" fillId="0" borderId="0" xfId="0" applyNumberFormat="1" applyFont="1" applyAlignment="1">
      <alignment horizontal="center" vertical="center"/>
    </xf>
    <xf numFmtId="0" fontId="34" fillId="0" borderId="0" xfId="0" applyFont="1" applyAlignment="1">
      <alignment horizontal="right" vertical="center"/>
    </xf>
    <xf numFmtId="0" fontId="2" fillId="0" borderId="0" xfId="0" applyFont="1" applyAlignment="1">
      <alignment vertical="center" wrapText="1"/>
    </xf>
    <xf numFmtId="0" fontId="2" fillId="0" borderId="0" xfId="0" applyFont="1" applyAlignment="1">
      <alignment horizontal="center" vertical="center" wrapText="1"/>
    </xf>
    <xf numFmtId="0" fontId="35" fillId="0" borderId="0" xfId="0" applyFont="1" applyAlignment="1">
      <alignment horizontal="left" vertical="center" indent="3"/>
    </xf>
    <xf numFmtId="0" fontId="35" fillId="0" borderId="0" xfId="0" applyFont="1" applyAlignment="1">
      <alignment vertical="center"/>
    </xf>
    <xf numFmtId="0" fontId="2" fillId="0" borderId="0" xfId="0" applyFont="1" applyAlignment="1">
      <alignment horizontal="right" vertical="center" wrapText="1"/>
    </xf>
    <xf numFmtId="0" fontId="35" fillId="0" borderId="0" xfId="0" applyFont="1" applyAlignment="1">
      <alignment horizontal="left" vertical="center" indent="1"/>
    </xf>
    <xf numFmtId="0" fontId="35" fillId="0" borderId="0" xfId="0" applyFont="1" applyAlignment="1">
      <alignment horizontal="center" vertical="center"/>
    </xf>
    <xf numFmtId="0" fontId="36" fillId="0" borderId="0" xfId="0" applyFont="1" applyAlignment="1">
      <alignment horizontal="left" vertical="center" indent="1"/>
    </xf>
    <xf numFmtId="0" fontId="36" fillId="0" borderId="0" xfId="0" applyFont="1" applyAlignment="1">
      <alignment horizontal="center" vertical="center"/>
    </xf>
    <xf numFmtId="0" fontId="37" fillId="0" borderId="0" xfId="0" applyFont="1" applyAlignment="1">
      <alignment vertical="center"/>
    </xf>
    <xf numFmtId="0" fontId="4" fillId="8" borderId="1" xfId="0" applyFont="1" applyFill="1" applyBorder="1" applyAlignment="1">
      <alignment horizontal="center" vertical="center"/>
    </xf>
    <xf numFmtId="0" fontId="6" fillId="8" borderId="1" xfId="0" applyFont="1" applyFill="1" applyBorder="1" applyAlignment="1">
      <alignment horizontal="center" vertical="center"/>
    </xf>
    <xf numFmtId="0" fontId="8" fillId="8" borderId="1" xfId="0" applyFont="1" applyFill="1" applyBorder="1" applyAlignment="1">
      <alignment horizontal="center" vertical="center"/>
    </xf>
    <xf numFmtId="0" fontId="38" fillId="8" borderId="0" xfId="0" applyFont="1" applyFill="1" applyAlignment="1">
      <alignment horizontal="left" vertical="center"/>
    </xf>
    <xf numFmtId="0" fontId="4" fillId="8" borderId="0" xfId="0" applyFont="1" applyFill="1" applyAlignment="1">
      <alignment horizontal="center" vertical="center"/>
    </xf>
    <xf numFmtId="0" fontId="33" fillId="0" borderId="0" xfId="0" applyFont="1" applyAlignment="1">
      <alignment vertical="center"/>
    </xf>
    <xf numFmtId="0" fontId="39" fillId="0" borderId="0" xfId="0" applyFont="1" applyAlignment="1">
      <alignment horizontal="center" vertical="center" wrapText="1"/>
    </xf>
    <xf numFmtId="0" fontId="2" fillId="0" borderId="0" xfId="0" applyFont="1" applyAlignment="1">
      <alignment horizontal="right" vertical="center" indent="1"/>
    </xf>
    <xf numFmtId="0" fontId="40" fillId="0" borderId="0" xfId="0" applyFont="1" applyAlignment="1">
      <alignment horizontal="right" vertical="center"/>
    </xf>
    <xf numFmtId="0" fontId="4" fillId="0" borderId="0" xfId="0" applyFont="1" applyAlignment="1">
      <alignment horizontal="left" vertical="center" indent="1"/>
    </xf>
    <xf numFmtId="0" fontId="41" fillId="0" borderId="0" xfId="0" applyFont="1" applyAlignment="1">
      <alignment vertical="center"/>
    </xf>
    <xf numFmtId="0" fontId="42" fillId="0" borderId="0" xfId="0" applyFont="1" applyAlignment="1">
      <alignment vertical="center"/>
    </xf>
    <xf numFmtId="0" fontId="40" fillId="0" borderId="0" xfId="0" applyFont="1" applyAlignment="1">
      <alignment horizontal="left" vertical="center"/>
    </xf>
    <xf numFmtId="0" fontId="40" fillId="0" borderId="0" xfId="0" applyFont="1" applyAlignment="1">
      <alignment vertical="center"/>
    </xf>
    <xf numFmtId="0" fontId="33" fillId="0" borderId="0" xfId="0" applyFont="1" applyAlignment="1">
      <alignment horizontal="center" vertical="center" wrapText="1"/>
    </xf>
    <xf numFmtId="0" fontId="43" fillId="0" borderId="0" xfId="0" applyFont="1" applyAlignment="1">
      <alignment horizontal="left" vertical="center" wrapText="1"/>
    </xf>
    <xf numFmtId="0" fontId="4" fillId="0" borderId="0" xfId="0" applyFont="1" applyAlignment="1">
      <alignment horizontal="right" vertical="center"/>
    </xf>
    <xf numFmtId="0" fontId="33" fillId="0" borderId="0" xfId="0" applyFont="1" applyAlignment="1">
      <alignment vertical="center" wrapText="1"/>
    </xf>
    <xf numFmtId="0" fontId="32" fillId="0" borderId="0" xfId="0" applyFont="1" applyAlignment="1">
      <alignment horizontal="left" vertical="center"/>
    </xf>
    <xf numFmtId="0" fontId="5" fillId="0" borderId="25" xfId="0" applyFont="1" applyBorder="1" applyAlignment="1">
      <alignment horizontal="left" vertical="center" indent="1"/>
    </xf>
    <xf numFmtId="0" fontId="5" fillId="0" borderId="0" xfId="0" applyFont="1" applyAlignment="1">
      <alignment horizontal="left" vertical="center"/>
    </xf>
    <xf numFmtId="0" fontId="5" fillId="0" borderId="0" xfId="0" applyFont="1" applyAlignment="1">
      <alignment horizontal="center"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5" fillId="0" borderId="0" xfId="0" applyFont="1" applyAlignment="1">
      <alignment horizontal="left" vertical="center" indent="1"/>
    </xf>
    <xf numFmtId="1" fontId="5" fillId="0" borderId="0" xfId="0" applyNumberFormat="1" applyFont="1" applyAlignment="1">
      <alignment horizontal="left" vertical="center" wrapText="1"/>
    </xf>
    <xf numFmtId="0" fontId="5" fillId="0" borderId="26" xfId="0" applyFont="1" applyBorder="1" applyAlignment="1">
      <alignment horizontal="left" vertical="center" indent="1"/>
    </xf>
    <xf numFmtId="0" fontId="5" fillId="0" borderId="27" xfId="0" applyFont="1" applyBorder="1" applyAlignment="1">
      <alignment horizontal="left" vertical="center"/>
    </xf>
    <xf numFmtId="0" fontId="2" fillId="0" borderId="27" xfId="0" applyFont="1" applyBorder="1" applyAlignment="1">
      <alignment vertical="center"/>
    </xf>
    <xf numFmtId="0" fontId="5" fillId="0" borderId="27" xfId="0" applyFont="1" applyBorder="1" applyAlignment="1">
      <alignment horizontal="center" vertical="center" wrapText="1"/>
    </xf>
    <xf numFmtId="0" fontId="5" fillId="0" borderId="27" xfId="0" applyFont="1" applyBorder="1" applyAlignment="1">
      <alignment vertical="center" wrapText="1"/>
    </xf>
    <xf numFmtId="0" fontId="5" fillId="0" borderId="27" xfId="0" applyFont="1" applyBorder="1" applyAlignment="1">
      <alignment horizontal="left" vertical="center" wrapText="1"/>
    </xf>
    <xf numFmtId="0" fontId="44" fillId="0" borderId="0" xfId="0" applyFont="1" applyAlignment="1">
      <alignment vertical="center"/>
    </xf>
    <xf numFmtId="0" fontId="35" fillId="0" borderId="0" xfId="0" applyFont="1" applyAlignment="1">
      <alignment horizontal="left" vertical="center"/>
    </xf>
    <xf numFmtId="0" fontId="4" fillId="8" borderId="1" xfId="0" applyFont="1" applyFill="1" applyBorder="1" applyAlignment="1">
      <alignment horizontal="left" vertical="center"/>
    </xf>
    <xf numFmtId="0" fontId="45" fillId="0" borderId="1" xfId="0" applyFont="1" applyBorder="1" applyAlignment="1">
      <alignment horizontal="center" vertical="center"/>
    </xf>
    <xf numFmtId="0" fontId="46" fillId="0" borderId="1" xfId="0" applyFont="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49" fillId="0" borderId="0" xfId="0" applyFont="1" applyAlignment="1">
      <alignment horizontal="center" vertical="center"/>
    </xf>
    <xf numFmtId="0" fontId="51" fillId="0" borderId="0" xfId="0" applyFont="1" applyAlignment="1">
      <alignment horizontal="center" vertical="center"/>
    </xf>
    <xf numFmtId="0" fontId="52" fillId="9" borderId="28" xfId="0" applyFont="1" applyFill="1" applyBorder="1" applyAlignment="1">
      <alignment horizontal="center" vertical="center"/>
    </xf>
    <xf numFmtId="0" fontId="52" fillId="9" borderId="28" xfId="0" applyFont="1" applyFill="1" applyBorder="1" applyAlignment="1">
      <alignment horizontal="center" vertical="center" wrapText="1"/>
    </xf>
    <xf numFmtId="22" fontId="49" fillId="0" borderId="0" xfId="0" applyNumberFormat="1" applyFont="1" applyAlignment="1">
      <alignment horizontal="center" vertical="center"/>
    </xf>
    <xf numFmtId="0" fontId="53" fillId="0" borderId="0" xfId="0" applyFont="1"/>
    <xf numFmtId="0" fontId="53" fillId="0" borderId="0" xfId="0" applyFont="1" applyAlignment="1">
      <alignment vertical="center"/>
    </xf>
    <xf numFmtId="49" fontId="53" fillId="0" borderId="0" xfId="0" applyNumberFormat="1" applyFont="1" applyAlignment="1">
      <alignment vertical="center"/>
    </xf>
    <xf numFmtId="0" fontId="53" fillId="0" borderId="0" xfId="0" applyFont="1" applyAlignment="1">
      <alignment horizontal="center" vertical="center"/>
    </xf>
    <xf numFmtId="0" fontId="54" fillId="0" borderId="0" xfId="0" applyFont="1" applyAlignment="1">
      <alignment horizontal="center" vertical="center"/>
    </xf>
    <xf numFmtId="0" fontId="55" fillId="7" borderId="0" xfId="0" applyFont="1" applyFill="1" applyAlignment="1">
      <alignment vertical="center"/>
    </xf>
    <xf numFmtId="49" fontId="56" fillId="7" borderId="0" xfId="2" applyNumberFormat="1" applyFont="1" applyFill="1" applyAlignment="1">
      <alignment vertical="center" wrapText="1"/>
    </xf>
    <xf numFmtId="49" fontId="55" fillId="0" borderId="0" xfId="0" applyNumberFormat="1" applyFont="1" applyAlignment="1">
      <alignment vertical="center"/>
    </xf>
    <xf numFmtId="0" fontId="57" fillId="7" borderId="0" xfId="2" applyFont="1" applyFill="1" applyAlignment="1">
      <alignment vertical="center" wrapText="1"/>
    </xf>
    <xf numFmtId="0" fontId="59" fillId="7" borderId="0" xfId="2" applyFont="1" applyFill="1" applyAlignment="1">
      <alignment horizontal="center" vertical="center"/>
    </xf>
    <xf numFmtId="49" fontId="55" fillId="7" borderId="0" xfId="0" applyNumberFormat="1" applyFont="1" applyFill="1" applyAlignment="1">
      <alignment vertical="center"/>
    </xf>
    <xf numFmtId="0" fontId="61" fillId="7" borderId="0" xfId="0" applyFont="1" applyFill="1" applyAlignment="1" applyProtection="1">
      <alignment vertical="center"/>
      <protection locked="0"/>
    </xf>
    <xf numFmtId="49" fontId="62" fillId="10" borderId="29" xfId="0" applyNumberFormat="1" applyFont="1" applyFill="1" applyBorder="1" applyAlignment="1">
      <alignment horizontal="left" vertical="center"/>
    </xf>
    <xf numFmtId="49" fontId="63" fillId="10" borderId="30" xfId="0" applyNumberFormat="1" applyFont="1" applyFill="1" applyBorder="1" applyAlignment="1">
      <alignment vertical="center"/>
    </xf>
    <xf numFmtId="49" fontId="64" fillId="10" borderId="30" xfId="0" applyNumberFormat="1" applyFont="1" applyFill="1" applyBorder="1" applyAlignment="1">
      <alignment horizontal="left" vertical="center"/>
    </xf>
    <xf numFmtId="49" fontId="49" fillId="7" borderId="0" xfId="0" applyNumberFormat="1" applyFont="1" applyFill="1" applyAlignment="1">
      <alignment horizontal="center" vertical="center"/>
    </xf>
    <xf numFmtId="0" fontId="65" fillId="7" borderId="0" xfId="0" applyFont="1" applyFill="1" applyAlignment="1">
      <alignment horizontal="center" vertical="center"/>
    </xf>
    <xf numFmtId="0" fontId="66" fillId="11" borderId="28" xfId="0" applyFont="1" applyFill="1" applyBorder="1" applyAlignment="1" applyProtection="1">
      <alignment horizontal="center" vertical="center"/>
      <protection locked="0"/>
    </xf>
    <xf numFmtId="0" fontId="50" fillId="0" borderId="0" xfId="0" applyFont="1" applyAlignment="1">
      <alignment vertical="center"/>
    </xf>
    <xf numFmtId="0" fontId="67" fillId="11" borderId="28" xfId="0" applyFont="1" applyFill="1" applyBorder="1" applyAlignment="1" applyProtection="1">
      <alignment horizontal="center" vertical="center"/>
      <protection locked="0"/>
    </xf>
    <xf numFmtId="49" fontId="49" fillId="7" borderId="31" xfId="0" applyNumberFormat="1" applyFont="1" applyFill="1" applyBorder="1" applyAlignment="1">
      <alignment horizontal="center" vertical="center"/>
    </xf>
    <xf numFmtId="0" fontId="65" fillId="7" borderId="31" xfId="0" applyFont="1" applyFill="1" applyBorder="1" applyAlignment="1">
      <alignment horizontal="left" vertical="center"/>
    </xf>
    <xf numFmtId="0" fontId="65" fillId="7" borderId="0" xfId="0" applyFont="1" applyFill="1" applyAlignment="1">
      <alignment horizontal="left" vertical="center" indent="1"/>
    </xf>
    <xf numFmtId="0" fontId="68" fillId="7" borderId="0" xfId="0" applyFont="1" applyFill="1" applyAlignment="1">
      <alignment horizontal="center" vertical="center"/>
    </xf>
    <xf numFmtId="0" fontId="69" fillId="7" borderId="0" xfId="0" applyFont="1" applyFill="1" applyAlignment="1">
      <alignment horizontal="center" vertical="center"/>
    </xf>
    <xf numFmtId="0" fontId="69" fillId="7" borderId="0" xfId="0" applyFont="1" applyFill="1" applyAlignment="1">
      <alignment horizontal="left" vertical="center" indent="1"/>
    </xf>
    <xf numFmtId="0" fontId="70" fillId="7" borderId="0" xfId="0" applyFont="1" applyFill="1" applyAlignment="1">
      <alignment horizontal="center" vertical="center"/>
    </xf>
    <xf numFmtId="49" fontId="62" fillId="10" borderId="32" xfId="0" applyNumberFormat="1" applyFont="1" applyFill="1" applyBorder="1" applyAlignment="1">
      <alignment horizontal="left" vertical="center"/>
    </xf>
    <xf numFmtId="49" fontId="63" fillId="10" borderId="33" xfId="0" applyNumberFormat="1" applyFont="1" applyFill="1" applyBorder="1" applyAlignment="1">
      <alignment vertical="center"/>
    </xf>
    <xf numFmtId="49" fontId="64" fillId="10" borderId="33" xfId="0" applyNumberFormat="1" applyFont="1" applyFill="1" applyBorder="1" applyAlignment="1">
      <alignment vertical="center"/>
    </xf>
    <xf numFmtId="49" fontId="71" fillId="12" borderId="34" xfId="0" applyNumberFormat="1" applyFont="1" applyFill="1" applyBorder="1" applyAlignment="1">
      <alignment vertical="center" textRotation="255"/>
    </xf>
    <xf numFmtId="0" fontId="72" fillId="12" borderId="35" xfId="0" applyFont="1" applyFill="1" applyBorder="1" applyAlignment="1">
      <alignment horizontal="center" vertical="center"/>
    </xf>
    <xf numFmtId="0" fontId="73" fillId="12" borderId="35" xfId="0" applyFont="1" applyFill="1" applyBorder="1" applyAlignment="1">
      <alignment horizontal="center" vertical="center"/>
    </xf>
    <xf numFmtId="0" fontId="74" fillId="12" borderId="35" xfId="0" applyFont="1" applyFill="1" applyBorder="1" applyAlignment="1">
      <alignment vertical="center" wrapText="1"/>
    </xf>
    <xf numFmtId="49" fontId="71" fillId="12" borderId="36" xfId="0" applyNumberFormat="1" applyFont="1" applyFill="1" applyBorder="1" applyAlignment="1">
      <alignment vertical="center" textRotation="255"/>
    </xf>
    <xf numFmtId="0" fontId="75" fillId="12" borderId="37" xfId="0" applyFont="1" applyFill="1" applyBorder="1" applyAlignment="1">
      <alignment horizontal="center" vertical="center"/>
    </xf>
    <xf numFmtId="0" fontId="73" fillId="12" borderId="37" xfId="0" applyFont="1" applyFill="1" applyBorder="1" applyAlignment="1">
      <alignment horizontal="center" vertical="center"/>
    </xf>
    <xf numFmtId="0" fontId="74" fillId="12" borderId="37" xfId="0" applyFont="1" applyFill="1" applyBorder="1" applyAlignment="1">
      <alignment vertical="center" wrapText="1"/>
    </xf>
    <xf numFmtId="49" fontId="71" fillId="12" borderId="38" xfId="0" applyNumberFormat="1" applyFont="1" applyFill="1" applyBorder="1" applyAlignment="1">
      <alignment vertical="center" textRotation="255"/>
    </xf>
    <xf numFmtId="0" fontId="65" fillId="12" borderId="0" xfId="0" applyFont="1" applyFill="1" applyAlignment="1">
      <alignment horizontal="center" vertical="center"/>
    </xf>
    <xf numFmtId="0" fontId="76" fillId="12" borderId="0" xfId="0" applyFont="1" applyFill="1" applyAlignment="1">
      <alignment horizontal="center" vertical="center"/>
    </xf>
    <xf numFmtId="0" fontId="65" fillId="12" borderId="0" xfId="0" applyFont="1" applyFill="1" applyAlignment="1">
      <alignment horizontal="left" vertical="center"/>
    </xf>
    <xf numFmtId="0" fontId="77" fillId="11" borderId="0" xfId="0" applyFont="1" applyFill="1" applyAlignment="1" applyProtection="1">
      <alignment horizontal="center" vertical="center"/>
      <protection locked="0"/>
    </xf>
    <xf numFmtId="0" fontId="78" fillId="12" borderId="0" xfId="0" applyFont="1" applyFill="1" applyAlignment="1">
      <alignment horizontal="right" vertical="center"/>
    </xf>
    <xf numFmtId="0" fontId="79" fillId="12" borderId="0" xfId="0" applyFont="1" applyFill="1" applyAlignment="1">
      <alignment horizontal="center" vertical="center"/>
    </xf>
    <xf numFmtId="0" fontId="78" fillId="12" borderId="0" xfId="0" applyFont="1" applyFill="1" applyAlignment="1">
      <alignment horizontal="left" vertical="center"/>
    </xf>
    <xf numFmtId="0" fontId="80" fillId="12" borderId="0" xfId="0" applyFont="1" applyFill="1" applyAlignment="1">
      <alignment horizontal="left" vertical="center" wrapText="1"/>
    </xf>
    <xf numFmtId="0" fontId="55" fillId="7" borderId="0" xfId="0" applyFont="1" applyFill="1"/>
    <xf numFmtId="49" fontId="71" fillId="12" borderId="38" xfId="0" applyNumberFormat="1" applyFont="1" applyFill="1" applyBorder="1" applyAlignment="1">
      <alignment textRotation="255"/>
    </xf>
    <xf numFmtId="0" fontId="65" fillId="12" borderId="0" xfId="0" applyFont="1" applyFill="1" applyAlignment="1">
      <alignment horizontal="center"/>
    </xf>
    <xf numFmtId="0" fontId="65" fillId="12" borderId="0" xfId="0" applyFont="1" applyFill="1" applyAlignment="1">
      <alignment horizontal="left"/>
    </xf>
    <xf numFmtId="0" fontId="67" fillId="12" borderId="0" xfId="0" applyFont="1" applyFill="1" applyAlignment="1">
      <alignment horizontal="left"/>
    </xf>
    <xf numFmtId="49" fontId="71" fillId="12" borderId="0" xfId="0" applyNumberFormat="1" applyFont="1" applyFill="1" applyAlignment="1">
      <alignment textRotation="255"/>
    </xf>
    <xf numFmtId="0" fontId="81" fillId="0" borderId="0" xfId="0" applyFont="1" applyAlignment="1">
      <alignment vertical="center"/>
    </xf>
    <xf numFmtId="49" fontId="82" fillId="7" borderId="0" xfId="2" applyNumberFormat="1" applyFont="1" applyFill="1" applyAlignment="1">
      <alignment vertical="center" wrapText="1"/>
    </xf>
    <xf numFmtId="0" fontId="60" fillId="7" borderId="0" xfId="2" applyFont="1" applyFill="1" applyAlignment="1">
      <alignment vertical="center" wrapText="1"/>
    </xf>
    <xf numFmtId="0" fontId="53" fillId="7" borderId="0" xfId="0" applyFont="1" applyFill="1" applyAlignment="1">
      <alignment vertical="center"/>
    </xf>
    <xf numFmtId="0" fontId="84" fillId="7" borderId="0" xfId="2" applyFont="1" applyFill="1" applyAlignment="1">
      <alignment horizontal="left"/>
    </xf>
    <xf numFmtId="0" fontId="85" fillId="7" borderId="0" xfId="2" applyFont="1" applyFill="1" applyAlignment="1">
      <alignment vertical="top" wrapText="1"/>
    </xf>
    <xf numFmtId="0" fontId="86" fillId="7" borderId="0" xfId="2" applyFont="1" applyFill="1" applyAlignment="1">
      <alignment vertical="top" wrapText="1"/>
    </xf>
    <xf numFmtId="0" fontId="60" fillId="7" borderId="0" xfId="2" applyFont="1" applyFill="1" applyAlignment="1" applyProtection="1">
      <alignment vertical="center"/>
      <protection locked="0"/>
    </xf>
    <xf numFmtId="0" fontId="49" fillId="7" borderId="0" xfId="2" applyFont="1" applyFill="1" applyAlignment="1">
      <alignment vertical="center" shrinkToFit="1"/>
    </xf>
    <xf numFmtId="0" fontId="88" fillId="7" borderId="0" xfId="2" applyFont="1" applyFill="1" applyAlignment="1">
      <alignment vertical="center" shrinkToFit="1"/>
    </xf>
    <xf numFmtId="0" fontId="89" fillId="7" borderId="0" xfId="2" applyFont="1" applyFill="1" applyAlignment="1">
      <alignment vertical="center" shrinkToFit="1"/>
    </xf>
    <xf numFmtId="0" fontId="55" fillId="7" borderId="0" xfId="0" applyFont="1" applyFill="1" applyAlignment="1">
      <alignment horizontal="center" vertical="center"/>
    </xf>
    <xf numFmtId="0" fontId="90" fillId="10" borderId="30" xfId="0" applyFont="1" applyFill="1" applyBorder="1" applyAlignment="1">
      <alignment horizontal="center" vertical="center"/>
    </xf>
    <xf numFmtId="0" fontId="91" fillId="10" borderId="30" xfId="0" applyFont="1" applyFill="1" applyBorder="1" applyAlignment="1">
      <alignment horizontal="left" vertical="center"/>
    </xf>
    <xf numFmtId="49" fontId="64" fillId="10" borderId="39" xfId="0" applyNumberFormat="1" applyFont="1" applyFill="1" applyBorder="1" applyAlignment="1">
      <alignment horizontal="left" vertical="center"/>
    </xf>
    <xf numFmtId="0" fontId="65" fillId="7" borderId="0" xfId="0" applyFont="1" applyFill="1" applyAlignment="1">
      <alignment horizontal="center" vertical="top" wrapText="1"/>
    </xf>
    <xf numFmtId="0" fontId="65" fillId="7" borderId="0" xfId="0" applyFont="1" applyFill="1" applyAlignment="1">
      <alignment vertical="top" wrapText="1"/>
    </xf>
    <xf numFmtId="0" fontId="65" fillId="7" borderId="31" xfId="0" applyFont="1" applyFill="1" applyBorder="1" applyAlignment="1">
      <alignment horizontal="center" vertical="center"/>
    </xf>
    <xf numFmtId="0" fontId="65" fillId="7" borderId="31" xfId="0" applyFont="1" applyFill="1" applyBorder="1" applyAlignment="1">
      <alignment horizontal="left" vertical="center" indent="1"/>
    </xf>
    <xf numFmtId="0" fontId="69" fillId="0" borderId="0" xfId="0" applyFont="1" applyAlignment="1">
      <alignment horizontal="left" vertical="center"/>
    </xf>
    <xf numFmtId="0" fontId="65" fillId="7" borderId="31" xfId="0" applyFont="1" applyFill="1" applyBorder="1" applyAlignment="1">
      <alignment vertical="center"/>
    </xf>
    <xf numFmtId="0" fontId="65" fillId="7" borderId="0" xfId="0" applyFont="1" applyFill="1" applyAlignment="1">
      <alignment vertical="center"/>
    </xf>
    <xf numFmtId="0" fontId="79" fillId="11" borderId="28" xfId="0" applyFont="1" applyFill="1" applyBorder="1" applyAlignment="1" applyProtection="1">
      <alignment horizontal="center" vertical="center"/>
      <protection locked="0"/>
    </xf>
    <xf numFmtId="0" fontId="92" fillId="7" borderId="0" xfId="0" applyFont="1" applyFill="1" applyAlignment="1">
      <alignment horizontal="left" vertical="center"/>
    </xf>
    <xf numFmtId="0" fontId="93" fillId="7" borderId="0" xfId="0" applyFont="1" applyFill="1" applyAlignment="1">
      <alignment horizontal="left" vertical="center"/>
    </xf>
    <xf numFmtId="49" fontId="63" fillId="10" borderId="40" xfId="0" applyNumberFormat="1" applyFont="1" applyFill="1" applyBorder="1" applyAlignment="1">
      <alignment vertical="center"/>
    </xf>
    <xf numFmtId="0" fontId="94" fillId="12" borderId="35" xfId="0" applyFont="1" applyFill="1" applyBorder="1" applyAlignment="1">
      <alignment horizontal="right" vertical="center"/>
    </xf>
    <xf numFmtId="0" fontId="94" fillId="12" borderId="35" xfId="0" applyFont="1" applyFill="1" applyBorder="1" applyAlignment="1">
      <alignment horizontal="center" vertical="center"/>
    </xf>
    <xf numFmtId="0" fontId="74" fillId="12" borderId="0" xfId="0" applyFont="1" applyFill="1" applyAlignment="1">
      <alignment vertical="center" wrapText="1"/>
    </xf>
    <xf numFmtId="0" fontId="79" fillId="12" borderId="0" xfId="0" applyFont="1" applyFill="1" applyAlignment="1">
      <alignment horizontal="right" vertical="center"/>
    </xf>
    <xf numFmtId="0" fontId="74" fillId="12" borderId="41" xfId="0" applyFont="1" applyFill="1" applyBorder="1" applyAlignment="1">
      <alignment vertical="center" wrapText="1"/>
    </xf>
    <xf numFmtId="0" fontId="95" fillId="12" borderId="0" xfId="0" applyFont="1" applyFill="1" applyAlignment="1">
      <alignment vertical="center" wrapText="1"/>
    </xf>
    <xf numFmtId="0" fontId="74" fillId="12" borderId="0" xfId="0" applyFont="1" applyFill="1" applyAlignment="1">
      <alignment horizontal="left" vertical="center" indent="1"/>
    </xf>
    <xf numFmtId="0" fontId="74" fillId="12" borderId="0" xfId="0" applyFont="1" applyFill="1" applyAlignment="1">
      <alignment horizontal="left" vertical="center"/>
    </xf>
    <xf numFmtId="179" fontId="65" fillId="12" borderId="0" xfId="0" applyNumberFormat="1" applyFont="1" applyFill="1" applyAlignment="1">
      <alignment horizontal="left"/>
    </xf>
    <xf numFmtId="0" fontId="72" fillId="12" borderId="41" xfId="0" applyFont="1" applyFill="1" applyBorder="1" applyAlignment="1">
      <alignment horizontal="center"/>
    </xf>
    <xf numFmtId="0" fontId="53" fillId="7" borderId="0" xfId="0" applyFont="1" applyFill="1"/>
    <xf numFmtId="49" fontId="71" fillId="12" borderId="0" xfId="0" applyNumberFormat="1" applyFont="1" applyFill="1" applyAlignment="1">
      <alignment horizontal="center" textRotation="255"/>
    </xf>
    <xf numFmtId="0" fontId="88" fillId="0" borderId="1" xfId="0" applyFont="1" applyBorder="1" applyAlignment="1">
      <alignment horizontal="center" vertical="center"/>
    </xf>
    <xf numFmtId="0" fontId="54" fillId="0" borderId="1" xfId="0" applyFont="1" applyBorder="1" applyAlignment="1">
      <alignment horizontal="center" vertical="center"/>
    </xf>
    <xf numFmtId="0" fontId="88" fillId="0" borderId="0" xfId="0" applyFont="1" applyAlignment="1">
      <alignment horizontal="center" vertical="center"/>
    </xf>
    <xf numFmtId="0" fontId="54" fillId="13" borderId="0" xfId="0" applyFont="1" applyFill="1" applyAlignment="1">
      <alignment horizontal="center" vertical="center"/>
    </xf>
    <xf numFmtId="0" fontId="96" fillId="0" borderId="0" xfId="0" applyFont="1" applyAlignment="1">
      <alignment horizontal="center" vertical="center"/>
    </xf>
    <xf numFmtId="0" fontId="97" fillId="0" borderId="0" xfId="0" applyFont="1" applyAlignment="1">
      <alignment horizontal="center" vertical="center"/>
    </xf>
    <xf numFmtId="0" fontId="98" fillId="13" borderId="0" xfId="0" applyFont="1" applyFill="1" applyAlignment="1">
      <alignment horizontal="center" vertical="center"/>
    </xf>
    <xf numFmtId="0" fontId="99" fillId="13" borderId="0" xfId="0" applyFont="1" applyFill="1" applyAlignment="1">
      <alignment horizontal="center" vertical="center"/>
    </xf>
    <xf numFmtId="0" fontId="96" fillId="0" borderId="0" xfId="0" applyFont="1" applyAlignment="1">
      <alignment horizontal="left" vertical="center"/>
    </xf>
    <xf numFmtId="0" fontId="54" fillId="0" borderId="0" xfId="0" applyFont="1" applyAlignment="1">
      <alignment horizontal="left" vertical="center"/>
    </xf>
    <xf numFmtId="0" fontId="100" fillId="0" borderId="0" xfId="0" applyFont="1" applyAlignment="1">
      <alignment horizontal="left" vertical="center"/>
    </xf>
    <xf numFmtId="0" fontId="96" fillId="0" borderId="1" xfId="0" applyFont="1" applyBorder="1" applyAlignment="1">
      <alignment horizontal="center" vertical="center"/>
    </xf>
    <xf numFmtId="49" fontId="56" fillId="7" borderId="0" xfId="2" applyNumberFormat="1" applyFont="1" applyFill="1" applyAlignment="1">
      <alignment horizontal="center" vertical="center" wrapText="1"/>
    </xf>
    <xf numFmtId="0" fontId="83" fillId="7" borderId="0" xfId="2" applyFont="1" applyFill="1" applyAlignment="1">
      <alignment horizontal="right" vertical="center" wrapText="1"/>
    </xf>
    <xf numFmtId="0" fontId="58" fillId="7" borderId="0" xfId="2" applyFont="1" applyFill="1" applyAlignment="1">
      <alignment horizontal="center" vertical="center" wrapText="1"/>
    </xf>
    <xf numFmtId="0" fontId="60" fillId="7" borderId="0" xfId="2" applyFont="1" applyFill="1" applyAlignment="1">
      <alignment horizontal="left" vertical="center" indent="1"/>
    </xf>
    <xf numFmtId="0" fontId="60" fillId="7" borderId="27" xfId="2" applyFont="1" applyFill="1" applyBorder="1" applyAlignment="1" applyProtection="1">
      <alignment horizontal="left" vertical="center"/>
      <protection locked="0"/>
    </xf>
    <xf numFmtId="0" fontId="87" fillId="7" borderId="0" xfId="2" applyFont="1" applyFill="1" applyAlignment="1">
      <alignment horizontal="left" vertical="center" shrinkToFit="1"/>
    </xf>
    <xf numFmtId="0" fontId="50" fillId="0" borderId="0" xfId="0" applyFont="1" applyAlignment="1">
      <alignment horizontal="center" vertical="center"/>
    </xf>
    <xf numFmtId="0" fontId="2" fillId="0" borderId="0" xfId="0" applyFont="1" applyAlignment="1">
      <alignment horizontal="left" vertical="center" wrapText="1"/>
    </xf>
    <xf numFmtId="0" fontId="4" fillId="0" borderId="0" xfId="0" applyFont="1" applyAlignment="1">
      <alignment horizontal="left" vertical="center" wrapText="1"/>
    </xf>
    <xf numFmtId="0" fontId="29" fillId="0" borderId="0" xfId="0" applyFont="1" applyAlignment="1">
      <alignment horizontal="center" vertical="center" wrapText="1"/>
    </xf>
    <xf numFmtId="0" fontId="30" fillId="0" borderId="0" xfId="0" applyFont="1" applyAlignment="1">
      <alignment horizontal="center" vertical="center" wrapText="1"/>
    </xf>
    <xf numFmtId="0" fontId="5" fillId="7" borderId="0" xfId="2" applyFont="1" applyFill="1" applyAlignment="1">
      <alignment horizontal="left" vertical="center" shrinkToFit="1"/>
    </xf>
    <xf numFmtId="0" fontId="4" fillId="8" borderId="1" xfId="0" applyFont="1" applyFill="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2" fillId="0" borderId="0" xfId="0" applyFont="1" applyAlignment="1">
      <alignment horizontal="left" vertical="center" wrapText="1" indent="1"/>
    </xf>
    <xf numFmtId="0" fontId="3" fillId="5" borderId="10" xfId="0" applyFont="1" applyFill="1" applyBorder="1" applyAlignment="1">
      <alignment horizontal="center" vertical="center"/>
    </xf>
    <xf numFmtId="0" fontId="6" fillId="0" borderId="11" xfId="0" applyFont="1" applyBorder="1" applyAlignment="1">
      <alignment horizontal="center" vertical="center"/>
    </xf>
    <xf numFmtId="0" fontId="3" fillId="5" borderId="11" xfId="0" applyFont="1" applyFill="1" applyBorder="1" applyAlignment="1">
      <alignment horizontal="center" vertical="center"/>
    </xf>
    <xf numFmtId="0" fontId="6" fillId="0" borderId="15" xfId="0" applyFont="1" applyBorder="1" applyAlignment="1">
      <alignment horizontal="center" vertical="center"/>
    </xf>
    <xf numFmtId="0" fontId="6" fillId="0" borderId="11" xfId="0" applyFont="1" applyBorder="1" applyAlignment="1">
      <alignment vertical="center"/>
    </xf>
    <xf numFmtId="0" fontId="6" fillId="0" borderId="15" xfId="0" applyFont="1" applyBorder="1" applyAlignment="1">
      <alignment vertical="center"/>
    </xf>
    <xf numFmtId="0" fontId="3" fillId="5" borderId="15" xfId="0" applyFont="1" applyFill="1" applyBorder="1" applyAlignment="1">
      <alignment horizontal="center" vertical="center"/>
    </xf>
    <xf numFmtId="0" fontId="6" fillId="0" borderId="9" xfId="0" applyFont="1" applyBorder="1" applyAlignment="1">
      <alignment horizontal="left" vertical="center" wrapText="1"/>
    </xf>
    <xf numFmtId="0" fontId="6" fillId="0" borderId="0" xfId="0" applyFont="1" applyAlignment="1">
      <alignment horizontal="left" vertical="center" wrapText="1"/>
    </xf>
    <xf numFmtId="0" fontId="6" fillId="0" borderId="1" xfId="0" applyFont="1" applyBorder="1" applyAlignment="1">
      <alignment horizontal="center" vertical="center"/>
    </xf>
    <xf numFmtId="0" fontId="6" fillId="0" borderId="1" xfId="0" applyFont="1" applyBorder="1" applyAlignment="1">
      <alignment horizontal="center" vertical="center" wrapText="1"/>
    </xf>
    <xf numFmtId="0" fontId="4" fillId="0" borderId="9" xfId="0" applyFont="1" applyBorder="1" applyAlignment="1">
      <alignment horizontal="left" vertical="center" wrapText="1"/>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0" borderId="3" xfId="0" applyFont="1" applyBorder="1" applyAlignment="1">
      <alignment horizontal="center" vertical="center" wrapText="1"/>
    </xf>
  </cellXfs>
  <cellStyles count="11">
    <cellStyle name="Comma 2" xfId="1" xr:uid="{00000000-0005-0000-0000-000031000000}"/>
    <cellStyle name="Normal 2" xfId="2" xr:uid="{00000000-0005-0000-0000-000032000000}"/>
    <cellStyle name="常规" xfId="0" builtinId="0"/>
    <cellStyle name="常规 13" xfId="3" xr:uid="{00000000-0005-0000-0000-000033000000}"/>
    <cellStyle name="常规 2" xfId="4" xr:uid="{00000000-0005-0000-0000-000034000000}"/>
    <cellStyle name="常规 2 2" xfId="5" xr:uid="{00000000-0005-0000-0000-000035000000}"/>
    <cellStyle name="常规 2 3" xfId="6" xr:uid="{00000000-0005-0000-0000-000036000000}"/>
    <cellStyle name="常规 2_计算书(1600kg)-试验塔" xfId="7" xr:uid="{00000000-0005-0000-0000-000037000000}"/>
    <cellStyle name="常规 3" xfId="8" xr:uid="{00000000-0005-0000-0000-000038000000}"/>
    <cellStyle name="常规 4" xfId="9" xr:uid="{00000000-0005-0000-0000-000039000000}"/>
    <cellStyle name="一般_Book2" xfId="10" xr:uid="{00000000-0005-0000-0000-00003A000000}"/>
  </cellStyles>
  <dxfs count="17">
    <dxf>
      <font>
        <b/>
        <i val="0"/>
        <color rgb="FFFF0000"/>
      </font>
    </dxf>
    <dxf>
      <font>
        <b/>
        <i val="0"/>
        <color rgb="FFFF0000"/>
      </font>
    </dxf>
    <dxf>
      <font>
        <b/>
        <i val="0"/>
        <color rgb="FFFF0000"/>
      </font>
    </dxf>
    <dxf>
      <font>
        <b/>
        <i val="0"/>
        <color rgb="FFFF0000"/>
      </font>
    </dxf>
    <dxf>
      <font>
        <b/>
        <i val="0"/>
        <color rgb="FFFF0000"/>
      </font>
    </dxf>
    <dxf>
      <font>
        <b/>
        <i val="0"/>
        <color indexed="10"/>
      </font>
    </dxf>
    <dxf>
      <font>
        <color rgb="FF9C0006"/>
      </font>
      <fill>
        <patternFill patternType="solid">
          <bgColor rgb="FFFFC7CE"/>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ont>
        <b/>
        <i val="0"/>
        <color rgb="FFFF0000"/>
      </font>
    </dxf>
    <dxf>
      <font>
        <b/>
        <i val="0"/>
        <color rgb="FFFF0000"/>
      </font>
    </dxf>
    <dxf>
      <font>
        <b/>
        <i val="0"/>
        <color rgb="FFFF0000"/>
      </font>
    </dxf>
    <dxf>
      <font>
        <b/>
        <i val="0"/>
        <color rgb="FFFF0000"/>
      </font>
    </dxf>
    <dxf>
      <font>
        <b/>
        <i val="0"/>
        <color rgb="FFFF0000"/>
      </font>
    </dxf>
    <dxf>
      <font>
        <color rgb="FF9C0006"/>
      </font>
      <fill>
        <patternFill patternType="solid">
          <bgColor rgb="FFFFC7CE"/>
        </patternFill>
      </fill>
    </dxf>
  </dxfs>
  <tableStyles count="0" defaultTableStyle="TableStyleMedium9" defaultPivotStyle="PivotStyleLight16"/>
  <colors>
    <mruColors>
      <color rgb="FF2E70C0"/>
      <color rgb="FFE7E200"/>
      <color rgb="FF1F4C83"/>
      <color rgb="FFFFFF66"/>
      <color rgb="FFFFB3B3"/>
      <color rgb="FFFFC9C9"/>
      <color rgb="FF43FF98"/>
      <color rgb="FF265C9E"/>
      <color rgb="FFA7FFCF"/>
      <color rgb="FF5DFF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wmf"/></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2</xdr:col>
      <xdr:colOff>8963</xdr:colOff>
      <xdr:row>16</xdr:row>
      <xdr:rowOff>8965</xdr:rowOff>
    </xdr:from>
    <xdr:to>
      <xdr:col>13</xdr:col>
      <xdr:colOff>286869</xdr:colOff>
      <xdr:row>16</xdr:row>
      <xdr:rowOff>8965</xdr:rowOff>
    </xdr:to>
    <xdr:cxnSp macro="">
      <xdr:nvCxnSpPr>
        <xdr:cNvPr id="3" name="直接连接符 2">
          <a:extLst>
            <a:ext uri="{FF2B5EF4-FFF2-40B4-BE49-F238E27FC236}">
              <a16:creationId xmlns:a16="http://schemas.microsoft.com/office/drawing/2014/main" id="{00000000-0008-0000-0000-000003000000}"/>
            </a:ext>
          </a:extLst>
        </xdr:cNvPr>
        <xdr:cNvCxnSpPr/>
      </xdr:nvCxnSpPr>
      <xdr:spPr>
        <a:xfrm flipV="1">
          <a:off x="290830" y="3502660"/>
          <a:ext cx="9924415" cy="0"/>
        </a:xfrm>
        <a:prstGeom prst="line">
          <a:avLst/>
        </a:prstGeom>
        <a:ln w="9525" cap="flat" cmpd="sng" algn="ctr">
          <a:solidFill>
            <a:schemeClr val="accent6"/>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8965</xdr:colOff>
      <xdr:row>5</xdr:row>
      <xdr:rowOff>62752</xdr:rowOff>
    </xdr:from>
    <xdr:to>
      <xdr:col>7</xdr:col>
      <xdr:colOff>206188</xdr:colOff>
      <xdr:row>5</xdr:row>
      <xdr:rowOff>322729</xdr:rowOff>
    </xdr:to>
    <xdr:sp macro="" textlink="">
      <xdr:nvSpPr>
        <xdr:cNvPr id="4" name="文本框 3">
          <a:extLst>
            <a:ext uri="{FF2B5EF4-FFF2-40B4-BE49-F238E27FC236}">
              <a16:creationId xmlns:a16="http://schemas.microsoft.com/office/drawing/2014/main" id="{00000000-0008-0000-0000-000004000000}"/>
            </a:ext>
          </a:extLst>
        </xdr:cNvPr>
        <xdr:cNvSpPr txBox="1"/>
      </xdr:nvSpPr>
      <xdr:spPr>
        <a:xfrm>
          <a:off x="130810" y="1012825"/>
          <a:ext cx="492887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defRPr/>
          </a:pPr>
          <a:r>
            <a:rPr lang="en-US" altLang="zh-CN" sz="1200" b="0" i="0" baseline="0">
              <a:solidFill>
                <a:schemeClr val="accent6">
                  <a:lumMod val="75000"/>
                </a:schemeClr>
              </a:solidFill>
              <a:effectLst/>
              <a:latin typeface="Eras Demi ITC" panose="020B0805030504020804" pitchFamily="34" charset="0"/>
              <a:ea typeface="+mn-ea"/>
              <a:cs typeface="+mn-cs"/>
            </a:rPr>
            <a:t>ENGINEERING YOUR NEED, KNOW YOU MORE TOGETHER</a:t>
          </a:r>
          <a:endParaRPr lang="zh-CN" altLang="zh-CN" sz="1200">
            <a:solidFill>
              <a:schemeClr val="accent6">
                <a:lumMod val="75000"/>
              </a:schemeClr>
            </a:solidFill>
            <a:effectLst/>
            <a:latin typeface="Eras Demi ITC" panose="020B0805030504020804" pitchFamily="34" charset="0"/>
          </a:endParaRPr>
        </a:p>
        <a:p>
          <a:endParaRPr lang="zh-CN" altLang="en-US" sz="1200">
            <a:solidFill>
              <a:schemeClr val="accent6">
                <a:lumMod val="75000"/>
              </a:schemeClr>
            </a:solidFill>
            <a:latin typeface="Eras Demi ITC" panose="020B0805030504020804" pitchFamily="34" charset="0"/>
          </a:endParaRPr>
        </a:p>
      </xdr:txBody>
    </xdr:sp>
    <xdr:clientData/>
  </xdr:twoCellAnchor>
  <mc:AlternateContent xmlns:mc="http://schemas.openxmlformats.org/markup-compatibility/2006">
    <mc:Choice xmlns:a14="http://schemas.microsoft.com/office/drawing/2010/main" Requires="a14">
      <xdr:twoCellAnchor>
        <xdr:from>
          <xdr:col>12</xdr:col>
          <xdr:colOff>76200</xdr:colOff>
          <xdr:row>19</xdr:row>
          <xdr:rowOff>47625</xdr:rowOff>
        </xdr:from>
        <xdr:to>
          <xdr:col>13</xdr:col>
          <xdr:colOff>400050</xdr:colOff>
          <xdr:row>19</xdr:row>
          <xdr:rowOff>304800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000" b="0" i="0" u="none" strike="noStrike" baseline="0">
                  <a:solidFill>
                    <a:srgbClr val="000000"/>
                  </a:solidFill>
                  <a:latin typeface="Yu Gothic UI Light"/>
                  <a:ea typeface="Yu Gothic UI Light"/>
                </a:rPr>
                <a:t>Record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438150</xdr:colOff>
          <xdr:row>7</xdr:row>
          <xdr:rowOff>200025</xdr:rowOff>
        </xdr:from>
        <xdr:to>
          <xdr:col>11</xdr:col>
          <xdr:colOff>257175</xdr:colOff>
          <xdr:row>8</xdr:row>
          <xdr:rowOff>228600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000-000014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000" b="0" i="0" u="none" strike="noStrike" baseline="0">
                  <a:solidFill>
                    <a:srgbClr val="000000"/>
                  </a:solidFill>
                  <a:latin typeface="Yu Gothic UI Light"/>
                  <a:ea typeface="Yu Gothic UI Light"/>
                </a:rPr>
                <a:t>Get Default Value</a:t>
              </a:r>
            </a:p>
          </xdr:txBody>
        </xdr:sp>
        <xdr:clientData fPrintsWithSheet="0"/>
      </xdr:twoCellAnchor>
    </mc:Choice>
    <mc:Fallback/>
  </mc:AlternateContent>
  <xdr:oneCellAnchor>
    <xdr:from>
      <xdr:col>2</xdr:col>
      <xdr:colOff>422242</xdr:colOff>
      <xdr:row>24</xdr:row>
      <xdr:rowOff>17931</xdr:rowOff>
    </xdr:from>
    <xdr:ext cx="255455" cy="221727"/>
    <xdr:sp macro="" textlink="">
      <xdr:nvSpPr>
        <xdr:cNvPr id="7" name="文本框 6">
          <a:extLst>
            <a:ext uri="{FF2B5EF4-FFF2-40B4-BE49-F238E27FC236}">
              <a16:creationId xmlns:a16="http://schemas.microsoft.com/office/drawing/2014/main" id="{00000000-0008-0000-0000-000007000000}"/>
            </a:ext>
          </a:extLst>
        </xdr:cNvPr>
        <xdr:cNvSpPr txBox="1"/>
      </xdr:nvSpPr>
      <xdr:spPr>
        <a:xfrm>
          <a:off x="703580" y="5427980"/>
          <a:ext cx="255905" cy="22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t">
          <a:spAutoFit/>
        </a:bodyPr>
        <a:lstStyle/>
        <a:p>
          <a:pPr marL="0" marR="0" lvl="0" indent="0" defTabSz="914400" rtl="0" eaLnBrk="1" fontAlgn="auto" latinLnBrk="0" hangingPunct="1">
            <a:lnSpc>
              <a:spcPct val="100000"/>
            </a:lnSpc>
            <a:spcBef>
              <a:spcPts val="0"/>
            </a:spcBef>
            <a:spcAft>
              <a:spcPts val="0"/>
            </a:spcAft>
            <a:buClrTx/>
            <a:buSzTx/>
            <a:buFontTx/>
            <a:buNone/>
            <a:defRPr/>
          </a:pPr>
          <a:r>
            <a:rPr lang="en-US" altLang="zh-CN" sz="1000" b="0" i="0" baseline="0">
              <a:solidFill>
                <a:schemeClr val="tx1">
                  <a:lumMod val="65000"/>
                  <a:lumOff val="35000"/>
                </a:schemeClr>
              </a:solidFill>
              <a:effectLst/>
              <a:latin typeface="Yu Gothic UI Light" panose="020B0300000000000000" charset="-128"/>
              <a:ea typeface="Yu Gothic UI Light" panose="020B0300000000000000" charset="-128"/>
              <a:cs typeface="+mn-cs"/>
            </a:rPr>
            <a:t>MIN.</a:t>
          </a:r>
          <a:endParaRPr lang="zh-CN" altLang="en-US" sz="1000">
            <a:solidFill>
              <a:schemeClr val="tx1">
                <a:lumMod val="65000"/>
                <a:lumOff val="35000"/>
              </a:schemeClr>
            </a:solidFill>
            <a:latin typeface="Yu Gothic UI Light" panose="020B0300000000000000" charset="-128"/>
            <a:ea typeface="Yu Gothic UI Light" panose="020B0300000000000000" charset="-128"/>
          </a:endParaRPr>
        </a:p>
      </xdr:txBody>
    </xdr:sp>
    <xdr:clientData/>
  </xdr:oneCellAnchor>
  <mc:AlternateContent xmlns:mc="http://schemas.openxmlformats.org/markup-compatibility/2006">
    <mc:Choice xmlns:a14="http://schemas.microsoft.com/office/drawing/2010/main" Requires="a14">
      <xdr:twoCellAnchor>
        <xdr:from>
          <xdr:col>12</xdr:col>
          <xdr:colOff>57150</xdr:colOff>
          <xdr:row>6</xdr:row>
          <xdr:rowOff>38100</xdr:rowOff>
        </xdr:from>
        <xdr:to>
          <xdr:col>13</xdr:col>
          <xdr:colOff>400050</xdr:colOff>
          <xdr:row>6</xdr:row>
          <xdr:rowOff>304800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000-00001B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000" b="0" i="0" u="none" strike="noStrike" baseline="0">
                  <a:solidFill>
                    <a:srgbClr val="000000"/>
                  </a:solidFill>
                  <a:latin typeface="Yu Gothic UI Light"/>
                  <a:ea typeface="Yu Gothic UI Light"/>
                </a:rPr>
                <a:t>Get Reference Data</a:t>
              </a:r>
            </a:p>
          </xdr:txBody>
        </xdr:sp>
        <xdr:clientData fPrintsWithSheet="0"/>
      </xdr:twoCellAnchor>
    </mc:Choice>
    <mc:Fallback/>
  </mc:AlternateContent>
  <xdr:oneCellAnchor>
    <xdr:from>
      <xdr:col>0</xdr:col>
      <xdr:colOff>89535</xdr:colOff>
      <xdr:row>1</xdr:row>
      <xdr:rowOff>635</xdr:rowOff>
    </xdr:from>
    <xdr:ext cx="1981200" cy="490220"/>
    <xdr:sp macro="" textlink="">
      <xdr:nvSpPr>
        <xdr:cNvPr id="11" name="文本框 10">
          <a:extLst>
            <a:ext uri="{FF2B5EF4-FFF2-40B4-BE49-F238E27FC236}">
              <a16:creationId xmlns:a16="http://schemas.microsoft.com/office/drawing/2014/main" id="{00000000-0008-0000-0000-00000B000000}"/>
            </a:ext>
          </a:extLst>
        </xdr:cNvPr>
        <xdr:cNvSpPr txBox="1"/>
      </xdr:nvSpPr>
      <xdr:spPr>
        <a:xfrm>
          <a:off x="89535" y="635"/>
          <a:ext cx="1981200" cy="490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defRPr/>
          </a:pPr>
          <a:r>
            <a:rPr lang="en-US" altLang="zh-CN" sz="1200" b="0" i="0" baseline="0">
              <a:solidFill>
                <a:schemeClr val="accent6">
                  <a:lumMod val="75000"/>
                </a:schemeClr>
              </a:solidFill>
              <a:effectLst>
                <a:glow rad="63500">
                  <a:schemeClr val="accent3">
                    <a:satMod val="175000"/>
                    <a:alpha val="50000"/>
                  </a:schemeClr>
                </a:glow>
              </a:effectLst>
              <a:latin typeface="Arial Rounded MT Bold" panose="020F0704030504030204" pitchFamily="34" charset="0"/>
              <a:ea typeface="+mn-ea"/>
              <a:cs typeface="+mn-cs"/>
            </a:rPr>
            <a:t>WINONE ELEVATOR</a:t>
          </a:r>
        </a:p>
        <a:p>
          <a:pPr marL="0" marR="0" lvl="0" indent="0" defTabSz="914400" rtl="0" eaLnBrk="1" fontAlgn="auto" latinLnBrk="0" hangingPunct="1">
            <a:lnSpc>
              <a:spcPct val="100000"/>
            </a:lnSpc>
            <a:spcBef>
              <a:spcPts val="0"/>
            </a:spcBef>
            <a:spcAft>
              <a:spcPts val="0"/>
            </a:spcAft>
            <a:buClrTx/>
            <a:buSzTx/>
            <a:buFontTx/>
            <a:buNone/>
            <a:defRPr/>
          </a:pPr>
          <a:r>
            <a:rPr lang="zh-CN" altLang="en-US" sz="1200" b="1" i="0" baseline="0">
              <a:solidFill>
                <a:schemeClr val="accent6">
                  <a:lumMod val="75000"/>
                </a:schemeClr>
              </a:solidFill>
              <a:effectLst>
                <a:glow rad="63500">
                  <a:schemeClr val="accent3">
                    <a:satMod val="175000"/>
                    <a:alpha val="50000"/>
                  </a:schemeClr>
                </a:glow>
              </a:effectLst>
              <a:latin typeface="微软雅黑" panose="020B0503020204020204" pitchFamily="34" charset="-122"/>
              <a:ea typeface="微软雅黑" panose="020B0503020204020204" pitchFamily="34" charset="-122"/>
              <a:cs typeface="+mn-cs"/>
            </a:rPr>
            <a:t>菱 王 电 梯 有 限 公 司</a:t>
          </a:r>
          <a:endParaRPr lang="zh-CN" altLang="en-US" sz="1200">
            <a:solidFill>
              <a:schemeClr val="accent6">
                <a:lumMod val="75000"/>
              </a:schemeClr>
            </a:solidFill>
            <a:effectLst>
              <a:glow rad="63500">
                <a:schemeClr val="accent3">
                  <a:satMod val="175000"/>
                  <a:alpha val="50000"/>
                </a:schemeClr>
              </a:glow>
            </a:effectLst>
            <a:latin typeface="Eras Demi ITC" panose="020B0805030504020804" pitchFamily="34" charset="0"/>
          </a:endParaRPr>
        </a:p>
      </xdr:txBody>
    </xdr:sp>
    <xdr:clientData/>
  </xdr:oneCellAnchor>
  <xdr:oneCellAnchor>
    <xdr:from>
      <xdr:col>10</xdr:col>
      <xdr:colOff>923365</xdr:colOff>
      <xdr:row>1</xdr:row>
      <xdr:rowOff>26894</xdr:rowOff>
    </xdr:from>
    <xdr:ext cx="2411506" cy="807144"/>
    <xdr:sp macro="" textlink="">
      <xdr:nvSpPr>
        <xdr:cNvPr id="12" name="文本框 11">
          <a:extLst>
            <a:ext uri="{FF2B5EF4-FFF2-40B4-BE49-F238E27FC236}">
              <a16:creationId xmlns:a16="http://schemas.microsoft.com/office/drawing/2014/main" id="{00000000-0008-0000-0000-00000C000000}"/>
            </a:ext>
          </a:extLst>
        </xdr:cNvPr>
        <xdr:cNvSpPr txBox="1"/>
      </xdr:nvSpPr>
      <xdr:spPr>
        <a:xfrm>
          <a:off x="7971790" y="26670"/>
          <a:ext cx="2411095" cy="807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marR="0" lvl="0" indent="0" algn="r" defTabSz="914400" rtl="0" eaLnBrk="1" fontAlgn="auto" latinLnBrk="0" hangingPunct="1">
            <a:lnSpc>
              <a:spcPct val="100000"/>
            </a:lnSpc>
            <a:spcBef>
              <a:spcPts val="0"/>
            </a:spcBef>
            <a:spcAft>
              <a:spcPts val="0"/>
            </a:spcAft>
            <a:buClrTx/>
            <a:buSzTx/>
            <a:buFontTx/>
            <a:buNone/>
            <a:defRPr/>
          </a:pPr>
          <a:r>
            <a:rPr lang="en-US" altLang="zh-CN" sz="1000" b="0" i="0" baseline="0">
              <a:solidFill>
                <a:schemeClr val="tx1">
                  <a:lumMod val="50000"/>
                  <a:lumOff val="50000"/>
                </a:schemeClr>
              </a:solidFill>
              <a:effectLst/>
              <a:latin typeface="Comic Sans MS" panose="030F0702030302020204" pitchFamily="66" charset="0"/>
              <a:ea typeface="+mn-ea"/>
              <a:cs typeface="+mn-cs"/>
            </a:rPr>
            <a:t>Developed by  </a:t>
          </a:r>
        </a:p>
        <a:p>
          <a:pPr marL="0" marR="0" lvl="0" indent="0" algn="r" defTabSz="914400" rtl="0" eaLnBrk="1" fontAlgn="auto" latinLnBrk="0" hangingPunct="1">
            <a:lnSpc>
              <a:spcPct val="100000"/>
            </a:lnSpc>
            <a:spcBef>
              <a:spcPts val="0"/>
            </a:spcBef>
            <a:spcAft>
              <a:spcPts val="0"/>
            </a:spcAft>
            <a:buClrTx/>
            <a:buSzTx/>
            <a:buFontTx/>
            <a:buNone/>
            <a:defRPr/>
          </a:pPr>
          <a:r>
            <a:rPr lang="en-US" altLang="zh-CN" sz="1000" b="0" i="0" baseline="0">
              <a:solidFill>
                <a:schemeClr val="tx1">
                  <a:lumMod val="50000"/>
                  <a:lumOff val="50000"/>
                </a:schemeClr>
              </a:solidFill>
              <a:effectLst/>
              <a:latin typeface="Comic Sans MS" panose="030F0702030302020204" pitchFamily="66" charset="0"/>
              <a:ea typeface="+mn-ea"/>
              <a:cs typeface="+mn-cs"/>
            </a:rPr>
            <a:t>Daniel &amp; Champ</a:t>
          </a:r>
        </a:p>
        <a:p>
          <a:pPr marL="0" marR="0" lvl="0" indent="0" algn="r" defTabSz="914400" rtl="0" eaLnBrk="1" fontAlgn="auto" latinLnBrk="0" hangingPunct="1">
            <a:lnSpc>
              <a:spcPct val="100000"/>
            </a:lnSpc>
            <a:spcBef>
              <a:spcPts val="0"/>
            </a:spcBef>
            <a:spcAft>
              <a:spcPts val="0"/>
            </a:spcAft>
            <a:buClrTx/>
            <a:buSzTx/>
            <a:buFontTx/>
            <a:buNone/>
            <a:defRPr/>
          </a:pPr>
          <a:endParaRPr lang="en-US" altLang="zh-CN" sz="1000" b="0" i="0" baseline="0">
            <a:solidFill>
              <a:schemeClr val="tx1">
                <a:lumMod val="50000"/>
                <a:lumOff val="50000"/>
              </a:schemeClr>
            </a:solidFill>
            <a:effectLst/>
            <a:latin typeface="Comic Sans MS" panose="030F0702030302020204" pitchFamily="66" charset="0"/>
            <a:ea typeface="+mn-ea"/>
            <a:cs typeface="+mn-cs"/>
          </a:endParaRPr>
        </a:p>
        <a:p>
          <a:pPr marL="0" marR="0" lvl="0" indent="0" algn="r" defTabSz="914400" rtl="0" eaLnBrk="1" fontAlgn="auto" latinLnBrk="0" hangingPunct="1">
            <a:lnSpc>
              <a:spcPct val="100000"/>
            </a:lnSpc>
            <a:spcBef>
              <a:spcPts val="0"/>
            </a:spcBef>
            <a:spcAft>
              <a:spcPts val="0"/>
            </a:spcAft>
            <a:buClrTx/>
            <a:buSzTx/>
            <a:buFontTx/>
            <a:buNone/>
            <a:defRPr/>
          </a:pPr>
          <a:r>
            <a:rPr lang="en-US" altLang="zh-CN" sz="1000">
              <a:solidFill>
                <a:schemeClr val="tx1">
                  <a:lumMod val="50000"/>
                  <a:lumOff val="50000"/>
                </a:schemeClr>
              </a:solidFill>
              <a:latin typeface="Comic Sans MS" panose="030F0702030302020204" pitchFamily="66" charset="0"/>
            </a:rPr>
            <a:t>Trial Ver.1688</a:t>
          </a:r>
        </a:p>
      </xdr:txBody>
    </xdr:sp>
    <xdr:clientData/>
  </xdr:oneCellAnchor>
  <xdr:oneCellAnchor>
    <xdr:from>
      <xdr:col>6</xdr:col>
      <xdr:colOff>440168</xdr:colOff>
      <xdr:row>24</xdr:row>
      <xdr:rowOff>17933</xdr:rowOff>
    </xdr:from>
    <xdr:ext cx="255455" cy="221727"/>
    <xdr:sp macro="" textlink="">
      <xdr:nvSpPr>
        <xdr:cNvPr id="13" name="文本框 12">
          <a:extLst>
            <a:ext uri="{FF2B5EF4-FFF2-40B4-BE49-F238E27FC236}">
              <a16:creationId xmlns:a16="http://schemas.microsoft.com/office/drawing/2014/main" id="{00000000-0008-0000-0000-00000D000000}"/>
            </a:ext>
          </a:extLst>
        </xdr:cNvPr>
        <xdr:cNvSpPr txBox="1"/>
      </xdr:nvSpPr>
      <xdr:spPr>
        <a:xfrm>
          <a:off x="4105275" y="5427980"/>
          <a:ext cx="255270" cy="22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t">
          <a:spAutoFit/>
        </a:bodyPr>
        <a:lstStyle/>
        <a:p>
          <a:pPr marL="0" marR="0" lvl="0" indent="0" defTabSz="914400" rtl="0" eaLnBrk="1" fontAlgn="auto" latinLnBrk="0" hangingPunct="1">
            <a:lnSpc>
              <a:spcPct val="100000"/>
            </a:lnSpc>
            <a:spcBef>
              <a:spcPts val="0"/>
            </a:spcBef>
            <a:spcAft>
              <a:spcPts val="0"/>
            </a:spcAft>
            <a:buClrTx/>
            <a:buSzTx/>
            <a:buFontTx/>
            <a:buNone/>
            <a:defRPr/>
          </a:pPr>
          <a:r>
            <a:rPr lang="en-US" altLang="zh-CN" sz="1000" b="0" i="0" baseline="0">
              <a:solidFill>
                <a:schemeClr val="tx1">
                  <a:lumMod val="65000"/>
                  <a:lumOff val="35000"/>
                </a:schemeClr>
              </a:solidFill>
              <a:effectLst/>
              <a:latin typeface="Yu Gothic UI Light" panose="020B0300000000000000" charset="-128"/>
              <a:ea typeface="Yu Gothic UI Light" panose="020B0300000000000000" charset="-128"/>
              <a:cs typeface="+mn-cs"/>
            </a:rPr>
            <a:t>MIN.</a:t>
          </a:r>
          <a:endParaRPr lang="zh-CN" altLang="en-US" sz="1000">
            <a:solidFill>
              <a:schemeClr val="tx1">
                <a:lumMod val="65000"/>
                <a:lumOff val="35000"/>
              </a:schemeClr>
            </a:solidFill>
            <a:latin typeface="Yu Gothic UI Light" panose="020B0300000000000000" charset="-128"/>
            <a:ea typeface="Yu Gothic UI Light" panose="020B030000000000000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38100</xdr:rowOff>
        </xdr:from>
        <xdr:to>
          <xdr:col>3</xdr:col>
          <xdr:colOff>647700</xdr:colOff>
          <xdr:row>1</xdr:row>
          <xdr:rowOff>219075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000" b="0" i="0" u="none" strike="noStrike" baseline="0">
                  <a:solidFill>
                    <a:srgbClr val="000000"/>
                  </a:solidFill>
                  <a:latin typeface="Yu Gothic UI Light"/>
                  <a:ea typeface="Yu Gothic UI Light"/>
                </a:rPr>
                <a:t>Select transfer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655322</xdr:colOff>
      <xdr:row>37</xdr:row>
      <xdr:rowOff>120474</xdr:rowOff>
    </xdr:from>
    <xdr:ext cx="3020205" cy="424155"/>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655320" y="11610975"/>
              <a:ext cx="3020060" cy="424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m:rPr>
                        <m:sty m:val="p"/>
                      </m:rPr>
                      <a:rPr lang="en-US" altLang="zh-CN" sz="1100" b="0" i="0">
                        <a:latin typeface="Cambria Math" panose="02040503050406030204"/>
                      </a:rPr>
                      <m:t>A</m:t>
                    </m:r>
                    <m:r>
                      <a:rPr lang="en-US" altLang="zh-CN" sz="1100" i="0">
                        <a:latin typeface="Cambria Math" panose="02040503050406030204"/>
                      </a:rPr>
                      <m:t>=</m:t>
                    </m:r>
                    <m:r>
                      <m:rPr>
                        <m:sty m:val="p"/>
                      </m:rPr>
                      <a:rPr lang="en-US" altLang="zh-CN" sz="1100" b="0" i="0">
                        <a:latin typeface="Cambria Math" panose="02040503050406030204"/>
                      </a:rPr>
                      <m:t>CW</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CD</m:t>
                    </m:r>
                    <m:r>
                      <a:rPr lang="en-US" altLang="zh-CN" sz="1100" b="0" i="0">
                        <a:latin typeface="Cambria Math" panose="02040503050406030204"/>
                        <a:ea typeface="Cambria Math" panose="02040503050406030204"/>
                      </a:rPr>
                      <m:t>+</m:t>
                    </m:r>
                    <m:d>
                      <m:dPr>
                        <m:ctrlPr>
                          <a:rPr lang="en-US" altLang="zh-CN" sz="1100" b="0" i="1">
                            <a:latin typeface="Cambria Math" panose="02040503050406030204" pitchFamily="18" charset="0"/>
                            <a:ea typeface="Cambria Math" panose="02040503050406030204"/>
                          </a:rPr>
                        </m:ctrlPr>
                      </m:dPr>
                      <m:e>
                        <m:r>
                          <m:rPr>
                            <m:sty m:val="p"/>
                          </m:rPr>
                          <a:rPr lang="en-US" altLang="zh-CN" sz="1100" b="0" i="0">
                            <a:latin typeface="Cambria Math" panose="02040503050406030204"/>
                            <a:ea typeface="Cambria Math" panose="02040503050406030204"/>
                          </a:rPr>
                          <m:t>FD</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X</m:t>
                        </m:r>
                        <m:r>
                          <a:rPr lang="en-US" altLang="zh-CN" sz="1100" b="0" i="0">
                            <a:latin typeface="Cambria Math" panose="02040503050406030204"/>
                            <a:ea typeface="Cambria Math" panose="02040503050406030204"/>
                          </a:rPr>
                          <m:t>1</m:t>
                        </m:r>
                      </m:e>
                    </m:d>
                    <m:r>
                      <a:rPr lang="en-US" altLang="zh-CN" sz="1100" b="0" i="1">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DW</m:t>
                    </m:r>
                    <m:r>
                      <a:rPr lang="en-US" altLang="zh-CN" sz="1100" b="0" i="0">
                        <a:latin typeface="Cambria Math" panose="02040503050406030204"/>
                        <a:ea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r>
                              <a:rPr lang="en-US" altLang="zh-CN" sz="1100" b="0" i="0">
                                <a:latin typeface="Cambria Math" panose="02040503050406030204"/>
                                <a:ea typeface="Cambria Math" panose="02040503050406030204"/>
                              </a:rPr>
                              <m:t>1,非贯</m:t>
                            </m:r>
                            <m:r>
                              <a:rPr lang="zh-CN" altLang="en-US" sz="1100" b="0" i="0">
                                <a:latin typeface="Cambria Math" panose="02040503050406030204"/>
                                <a:ea typeface="Cambria Math" panose="02040503050406030204"/>
                              </a:rPr>
                              <m:t>通</m:t>
                            </m:r>
                          </m:e>
                          <m:e>
                            <m:r>
                              <a:rPr lang="en-US" altLang="zh-CN" sz="1100" b="0" i="0">
                                <a:latin typeface="Cambria Math" panose="02040503050406030204"/>
                                <a:ea typeface="Cambria Math" panose="02040503050406030204"/>
                              </a:rPr>
                              <m:t>2,贯通</m:t>
                            </m:r>
                            <m:r>
                              <a:rPr lang="zh-CN" altLang="en-US" sz="1100" b="0" i="0">
                                <a:latin typeface="Cambria Math" panose="02040503050406030204"/>
                                <a:ea typeface="Cambria Math" panose="02040503050406030204"/>
                              </a:rPr>
                              <m:t>门</m:t>
                            </m:r>
                          </m:e>
                        </m:eqArr>
                      </m:e>
                    </m:d>
                  </m:oMath>
                </m:oMathPara>
              </a14:m>
              <a:endParaRPr lang="zh-CN" altLang="en-US" sz="1100" i="0"/>
            </a:p>
          </xdr:txBody>
        </xdr:sp>
      </mc:Choice>
      <mc:Fallback xmlns:r="http://schemas.openxmlformats.org/officeDocument/2006/relationships" xmlns="">
        <xdr:sp>
          <xdr:nvSpPr>
            <xdr:cNvPr id="3" name="TextBox 2"/>
            <xdr:cNvSpPr txBox="1"/>
          </xdr:nvSpPr>
          <xdr:spPr>
            <a:xfrm>
              <a:off x="655320" y="11610975"/>
              <a:ext cx="3020060" cy="424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A</a:t>
              </a:r>
              <a:r>
                <a:rPr lang="en-US" altLang="zh-CN" sz="1100">
                  <a:latin typeface="Cambria Math" panose="02040503050406030204"/>
                </a:rPr>
                <a:t>=</a:t>
              </a:r>
              <a:r>
                <a:rPr lang="en-US" altLang="zh-CN" sz="1100" b="0">
                  <a:latin typeface="Cambria Math" panose="02040503050406030204"/>
                </a:rPr>
                <a:t>CW</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CD</a:t>
              </a:r>
              <a:r>
                <a:rPr lang="en-US" altLang="zh-CN" sz="1100" b="0">
                  <a:latin typeface="Cambria Math" panose="02040503050406030204"/>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FD</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X</a:t>
              </a:r>
              <a:r>
                <a:rPr lang="en-US" altLang="zh-CN" sz="1100" b="0">
                  <a:latin typeface="Cambria Math" panose="02040503050406030204"/>
                  <a:ea typeface="Cambria Math" panose="02040503050406030204"/>
                </a:rPr>
                <a:t>1</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DW</a:t>
              </a:r>
              <a:r>
                <a:rPr lang="en-US" altLang="zh-CN" sz="1100" b="0">
                  <a:latin typeface="Cambria Math" panose="02040503050406030204"/>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1</a:t>
              </a:r>
              <a:r>
                <a:rPr lang="en-US" altLang="zh-CN" sz="1100" b="0">
                  <a:latin typeface="Cambria Math" panose="02040503050406030204"/>
                  <a:ea typeface="Cambria Math" panose="02040503050406030204"/>
                </a:rPr>
                <a:t>,非贯</a:t>
              </a:r>
              <a:r>
                <a:rPr lang="zh-CN" altLang="en-US" sz="1100" b="0">
                  <a:latin typeface="Cambria Math" panose="02040503050406030204"/>
                  <a:ea typeface="Cambria Math" panose="02040503050406030204"/>
                </a:rPr>
                <a:t>通</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,贯通</a:t>
              </a:r>
              <a:r>
                <a:rPr lang="zh-CN" altLang="en-US" sz="1100" b="0">
                  <a:latin typeface="Cambria Math" panose="02040503050406030204"/>
                  <a:ea typeface="Cambria Math" panose="02040503050406030204"/>
                </a:rPr>
                <a:t>门</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2050676</xdr:colOff>
      <xdr:row>62</xdr:row>
      <xdr:rowOff>224117</xdr:rowOff>
    </xdr:from>
    <xdr:ext cx="3020205" cy="46993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050415" y="17949545"/>
              <a:ext cx="302006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X</m:t>
                        </m:r>
                        <m:r>
                          <a:rPr lang="en-US" altLang="zh-CN" sz="1100" b="0" i="0">
                            <a:latin typeface="Cambria Math" panose="02040503050406030204"/>
                          </a:rPr>
                          <m:t>1</m:t>
                        </m:r>
                      </m:e>
                      <m:sub>
                        <m:r>
                          <m:rPr>
                            <m:sty m:val="p"/>
                          </m:rPr>
                          <a:rPr lang="en-US" altLang="zh-CN" sz="1100" b="0" i="0">
                            <a:latin typeface="Cambria Math" panose="02040503050406030204"/>
                          </a:rPr>
                          <m:t>L</m:t>
                        </m:r>
                      </m:sub>
                    </m:sSub>
                    <m:r>
                      <a:rPr lang="en-US" altLang="zh-CN" sz="1100" i="0">
                        <a:latin typeface="Cambria Math" panose="02040503050406030204"/>
                      </a:rPr>
                      <m:t>=</m:t>
                    </m:r>
                    <m:r>
                      <a:rPr lang="en-US" altLang="zh-CN" sz="1100" b="0" i="0">
                        <a:latin typeface="Cambria Math" panose="02040503050406030204"/>
                      </a:rPr>
                      <m:t>−</m:t>
                    </m:r>
                    <m:f>
                      <m:fPr>
                        <m:ctrlPr>
                          <a:rPr lang="en-US" altLang="zh-CN" sz="1100" b="0" i="1">
                            <a:latin typeface="Cambria Math" panose="02040503050406030204" pitchFamily="18" charset="0"/>
                          </a:rPr>
                        </m:ctrlPr>
                      </m:fPr>
                      <m:num>
                        <m:r>
                          <m:rPr>
                            <m:sty m:val="p"/>
                          </m:rPr>
                          <a:rPr lang="en-US" altLang="zh-CN" sz="1100" b="0" i="0">
                            <a:latin typeface="Cambria Math" panose="02040503050406030204"/>
                          </a:rPr>
                          <m:t>CW</m:t>
                        </m:r>
                      </m:num>
                      <m:den>
                        <m:r>
                          <a:rPr lang="en-US" altLang="zh-CN" sz="1100" b="0" i="0">
                            <a:latin typeface="Cambria Math" panose="02040503050406030204"/>
                          </a:rPr>
                          <m:t>2</m:t>
                        </m:r>
                      </m:den>
                    </m:f>
                    <m:r>
                      <a:rPr lang="en-US" altLang="zh-CN" sz="1100" b="0" i="0">
                        <a:latin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sSub>
                              <m:sSubPr>
                                <m:ctrlPr>
                                  <a:rPr lang="en-US" altLang="zh-CN" sz="1100" b="0" i="1">
                                    <a:latin typeface="Cambria Math" panose="02040503050406030204" pitchFamily="18" charset="0"/>
                                    <a:ea typeface="Cambria Math" panose="02040503050406030204"/>
                                  </a:rPr>
                                </m:ctrlPr>
                              </m:sSubPr>
                              <m:e>
                                <m:r>
                                  <m:rPr>
                                    <m:sty m:val="p"/>
                                  </m:rPr>
                                  <a:rPr lang="en-US" altLang="zh-CN" sz="1100" b="0" i="0">
                                    <a:latin typeface="Cambria Math" panose="02040503050406030204"/>
                                    <a:ea typeface="Cambria Math" panose="02040503050406030204"/>
                                  </a:rPr>
                                  <m:t>CSD</m:t>
                                </m:r>
                              </m:e>
                              <m:sub>
                                <m:r>
                                  <a:rPr lang="en-US" altLang="zh-CN" sz="1100" b="0" i="0">
                                    <a:latin typeface="Cambria Math" panose="02040503050406030204"/>
                                    <a:ea typeface="Cambria Math" panose="02040503050406030204"/>
                                  </a:rPr>
                                  <m:t>1</m:t>
                                </m:r>
                              </m:sub>
                            </m:sSub>
                            <m:r>
                              <a:rPr lang="en-US" altLang="zh-CN" sz="1100" b="0" i="0">
                                <a:latin typeface="Cambria Math" panose="02040503050406030204"/>
                                <a:ea typeface="Cambria Math" panose="02040503050406030204"/>
                              </a:rPr>
                              <m:t>,</m:t>
                            </m:r>
                            <m:r>
                              <a:rPr lang="zh-CN" altLang="en-US" sz="1100" b="0" i="0">
                                <a:latin typeface="Cambria Math" panose="02040503050406030204"/>
                                <a:ea typeface="Cambria Math" panose="02040503050406030204"/>
                              </a:rPr>
                              <m:t>小撑架</m:t>
                            </m:r>
                            <m:r>
                              <a:rPr lang="en-US" altLang="zh-CN" sz="1100" b="0" i="0">
                                <a:latin typeface="Cambria Math" panose="02040503050406030204"/>
                                <a:ea typeface="Cambria Math" panose="02040503050406030204"/>
                              </a:rPr>
                              <m:t>(</m:t>
                            </m:r>
                            <m:r>
                              <a:rPr lang="zh-CN" altLang="en-US" sz="1100" b="0" i="0">
                                <a:latin typeface="Cambria Math" panose="02040503050406030204"/>
                                <a:ea typeface="Cambria Math" panose="02040503050406030204"/>
                              </a:rPr>
                              <m:t>对重后置</m:t>
                            </m:r>
                            <m:r>
                              <a:rPr lang="en-US" altLang="zh-CN" sz="1100" b="0" i="0">
                                <a:latin typeface="Cambria Math" panose="02040503050406030204"/>
                                <a:ea typeface="Cambria Math" panose="02040503050406030204"/>
                              </a:rPr>
                              <m:t>)</m:t>
                            </m:r>
                          </m:e>
                          <m:e>
                            <m:sSub>
                              <m:sSubPr>
                                <m:ctrlPr>
                                  <a:rPr lang="en-US" altLang="zh-CN" sz="1100" b="0" i="1">
                                    <a:latin typeface="Cambria Math" panose="02040503050406030204" pitchFamily="18" charset="0"/>
                                    <a:ea typeface="Cambria Math" panose="02040503050406030204"/>
                                  </a:rPr>
                                </m:ctrlPr>
                              </m:sSubPr>
                              <m:e>
                                <m:r>
                                  <m:rPr>
                                    <m:sty m:val="p"/>
                                  </m:rPr>
                                  <a:rPr lang="en-US" altLang="zh-CN" sz="1100" b="0" i="0">
                                    <a:latin typeface="Cambria Math" panose="02040503050406030204"/>
                                    <a:ea typeface="Cambria Math" panose="02040503050406030204"/>
                                  </a:rPr>
                                  <m:t>CSD</m:t>
                                </m:r>
                              </m:e>
                              <m:sub>
                                <m:r>
                                  <a:rPr lang="en-US" altLang="zh-CN" sz="1100" b="0" i="0">
                                    <a:latin typeface="Cambria Math" panose="02040503050406030204"/>
                                    <a:ea typeface="Cambria Math" panose="02040503050406030204"/>
                                  </a:rPr>
                                  <m:t>2</m:t>
                                </m:r>
                              </m:sub>
                            </m:sSub>
                            <m:r>
                              <a:rPr lang="en-US" altLang="zh-CN" sz="1100" b="0" i="0">
                                <a:latin typeface="Cambria Math" panose="02040503050406030204"/>
                                <a:ea typeface="Cambria Math" panose="02040503050406030204"/>
                              </a:rPr>
                              <m:t>,</m:t>
                            </m:r>
                            <m:r>
                              <a:rPr lang="zh-CN" altLang="en-US" sz="1100" b="0" i="0">
                                <a:latin typeface="Cambria Math" panose="02040503050406030204"/>
                                <a:ea typeface="Cambria Math" panose="02040503050406030204"/>
                              </a:rPr>
                              <m:t>大撑架</m:t>
                            </m:r>
                            <m:r>
                              <a:rPr lang="en-US" altLang="zh-CN" sz="1100" b="0" i="0">
                                <a:latin typeface="Cambria Math" panose="02040503050406030204"/>
                                <a:ea typeface="Cambria Math" panose="02040503050406030204"/>
                              </a:rPr>
                              <m:t>(</m:t>
                            </m:r>
                            <m:r>
                              <a:rPr lang="zh-CN" altLang="en-US" sz="1100" b="0" i="0">
                                <a:latin typeface="Cambria Math" panose="02040503050406030204"/>
                                <a:ea typeface="Cambria Math" panose="02040503050406030204"/>
                              </a:rPr>
                              <m:t>对重侧置</m:t>
                            </m:r>
                            <m:r>
                              <a:rPr lang="en-US" altLang="zh-CN" sz="1100" b="0" i="0">
                                <a:latin typeface="Cambria Math" panose="02040503050406030204"/>
                                <a:ea typeface="Cambria Math" panose="02040503050406030204"/>
                              </a:rPr>
                              <m:t>)</m:t>
                            </m:r>
                          </m:e>
                        </m:eqAr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e>
                    </m:d>
                  </m:oMath>
                </m:oMathPara>
              </a14:m>
              <a:endParaRPr lang="zh-CN" altLang="en-US" sz="1100" i="0"/>
            </a:p>
          </xdr:txBody>
        </xdr:sp>
      </mc:Choice>
      <mc:Fallback xmlns:r="http://schemas.openxmlformats.org/officeDocument/2006/relationships" xmlns="">
        <xdr:sp>
          <xdr:nvSpPr>
            <xdr:cNvPr id="6" name="TextBox 5"/>
            <xdr:cNvSpPr txBox="1"/>
          </xdr:nvSpPr>
          <xdr:spPr>
            <a:xfrm>
              <a:off x="2050415" y="17949545"/>
              <a:ext cx="302006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X</a:t>
              </a:r>
              <a:r>
                <a:rPr lang="en-US" altLang="zh-CN" sz="1100" b="0">
                  <a:latin typeface="Cambria Math" panose="02040503050406030204"/>
                </a:rPr>
                <a:t>1</a:t>
              </a:r>
              <a:r>
                <a:rPr lang="en-US" altLang="zh-CN" sz="1100" b="0">
                  <a:latin typeface="Cambria Math" panose="02040503050406030204" pitchFamily="18" charset="0"/>
                </a:rPr>
                <a:t>_</a:t>
              </a:r>
              <a:r>
                <a:rPr lang="en-US" altLang="zh-CN" sz="1100" b="0">
                  <a:latin typeface="Cambria Math" panose="02040503050406030204"/>
                </a:rPr>
                <a:t>L</a:t>
              </a:r>
              <a:r>
                <a:rPr lang="en-US" altLang="zh-CN" sz="1100">
                  <a:latin typeface="Cambria Math" panose="02040503050406030204"/>
                </a:rPr>
                <a:t>=</a:t>
              </a:r>
              <a:r>
                <a:rPr lang="en-US" altLang="zh-CN" sz="1100" b="0">
                  <a:latin typeface="Cambria Math" panose="02040503050406030204"/>
                </a:rPr>
                <a:t>−</a:t>
              </a:r>
              <a:r>
                <a:rPr lang="en-US" altLang="zh-CN" sz="1100" b="0">
                  <a:latin typeface="Cambria Math" panose="02040503050406030204"/>
                </a:rPr>
                <a:t>CW</a:t>
              </a:r>
              <a:r>
                <a:rPr lang="en-US" altLang="zh-CN" sz="1100" b="0">
                  <a:latin typeface="Cambria Math" panose="02040503050406030204" pitchFamily="18" charset="0"/>
                </a:rPr>
                <a:t>/</a:t>
              </a:r>
              <a:r>
                <a:rPr lang="en-US" altLang="zh-CN" sz="1100" b="0">
                  <a:latin typeface="Cambria Math" panose="02040503050406030204"/>
                </a:rPr>
                <a:t>2</a:t>
              </a:r>
              <a:r>
                <a:rPr lang="en-US" altLang="zh-CN" sz="1100" b="0">
                  <a:latin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CSD</a:t>
              </a:r>
              <a:r>
                <a:rPr lang="en-US" altLang="zh-CN" sz="1100" b="0">
                  <a:latin typeface="Cambria Math" panose="02040503050406030204" pitchFamily="18" charset="0"/>
                  <a:ea typeface="Cambria Math" panose="02040503050406030204"/>
                </a:rPr>
                <a:t>_</a:t>
              </a:r>
              <a:r>
                <a:rPr lang="en-US" altLang="zh-CN" sz="1100" b="0">
                  <a:latin typeface="Cambria Math" panose="02040503050406030204"/>
                  <a:ea typeface="Cambria Math" panose="02040503050406030204"/>
                </a:rPr>
                <a:t>1</a:t>
              </a:r>
              <a:r>
                <a:rPr lang="en-US" altLang="zh-CN" sz="1100" b="0">
                  <a:latin typeface="Cambria Math" panose="02040503050406030204"/>
                  <a:ea typeface="Cambria Math" panose="02040503050406030204"/>
                </a:rPr>
                <a:t>,</a:t>
              </a:r>
              <a:r>
                <a:rPr lang="zh-CN" altLang="en-US" sz="1100" b="0">
                  <a:latin typeface="Cambria Math" panose="02040503050406030204"/>
                  <a:ea typeface="Cambria Math" panose="02040503050406030204"/>
                </a:rPr>
                <a:t>小撑架</a:t>
              </a:r>
              <a:r>
                <a:rPr lang="en-US" altLang="zh-CN" sz="1100" b="0">
                  <a:latin typeface="Cambria Math" panose="02040503050406030204"/>
                  <a:ea typeface="Cambria Math" panose="02040503050406030204"/>
                </a:rPr>
                <a:t>(</a:t>
              </a:r>
              <a:r>
                <a:rPr lang="zh-CN" altLang="en-US" sz="1100" b="0">
                  <a:latin typeface="Cambria Math" panose="02040503050406030204"/>
                  <a:ea typeface="Cambria Math" panose="02040503050406030204"/>
                </a:rPr>
                <a:t>对重后置</a:t>
              </a:r>
              <a:r>
                <a:rPr lang="en-US" altLang="zh-CN" sz="1100" b="0">
                  <a:latin typeface="Cambria Math" panose="02040503050406030204"/>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CSD</a:t>
              </a:r>
              <a:r>
                <a:rPr lang="en-US" altLang="zh-CN" sz="1100" b="0">
                  <a:latin typeface="Cambria Math" panose="02040503050406030204" pitchFamily="18" charset="0"/>
                  <a:ea typeface="Cambria Math" panose="02040503050406030204"/>
                </a:rPr>
                <a:t>_</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a:t>
              </a:r>
              <a:r>
                <a:rPr lang="zh-CN" altLang="en-US" sz="1100" b="0">
                  <a:latin typeface="Cambria Math" panose="02040503050406030204"/>
                  <a:ea typeface="Cambria Math" panose="02040503050406030204"/>
                </a:rPr>
                <a:t>大撑架</a:t>
              </a:r>
              <a:r>
                <a:rPr lang="en-US" altLang="zh-CN" sz="1100" b="0">
                  <a:latin typeface="Cambria Math" panose="02040503050406030204"/>
                  <a:ea typeface="Cambria Math" panose="02040503050406030204"/>
                </a:rPr>
                <a:t>(</a:t>
              </a:r>
              <a:r>
                <a:rPr lang="zh-CN" altLang="en-US" sz="1100" b="0">
                  <a:latin typeface="Cambria Math" panose="02040503050406030204"/>
                  <a:ea typeface="Cambria Math" panose="02040503050406030204"/>
                </a:rPr>
                <a:t>对重侧置</a:t>
              </a:r>
              <a:r>
                <a:rPr lang="en-US" altLang="zh-CN" sz="1100" b="0">
                  <a:latin typeface="Cambria Math" panose="02040503050406030204"/>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2050678</xdr:colOff>
      <xdr:row>64</xdr:row>
      <xdr:rowOff>2</xdr:rowOff>
    </xdr:from>
    <xdr:ext cx="3020205" cy="409215"/>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050415" y="18415635"/>
              <a:ext cx="3020060" cy="408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X</m:t>
                        </m:r>
                        <m:r>
                          <a:rPr lang="en-US" altLang="zh-CN" sz="1100" b="0" i="0">
                            <a:latin typeface="Cambria Math" panose="02040503050406030204"/>
                          </a:rPr>
                          <m:t>1</m:t>
                        </m:r>
                      </m:e>
                      <m:sub>
                        <m:r>
                          <m:rPr>
                            <m:sty m:val="p"/>
                          </m:rPr>
                          <a:rPr lang="en-US" altLang="zh-CN" sz="1100" b="0" i="0">
                            <a:latin typeface="Cambria Math" panose="02040503050406030204"/>
                          </a:rPr>
                          <m:t>R</m:t>
                        </m:r>
                      </m:sub>
                    </m:sSub>
                    <m:r>
                      <a:rPr lang="en-US" altLang="zh-CN" sz="1100" i="0">
                        <a:latin typeface="Cambria Math" panose="02040503050406030204"/>
                      </a:rPr>
                      <m:t>=</m:t>
                    </m:r>
                    <m:f>
                      <m:fPr>
                        <m:ctrlPr>
                          <a:rPr lang="en-US" altLang="zh-CN" sz="1100" b="0" i="1">
                            <a:latin typeface="Cambria Math" panose="02040503050406030204" pitchFamily="18" charset="0"/>
                          </a:rPr>
                        </m:ctrlPr>
                      </m:fPr>
                      <m:num>
                        <m:r>
                          <m:rPr>
                            <m:sty m:val="p"/>
                          </m:rPr>
                          <a:rPr lang="en-US" altLang="zh-CN" sz="1100" b="0" i="0">
                            <a:latin typeface="Cambria Math" panose="02040503050406030204"/>
                          </a:rPr>
                          <m:t>CW</m:t>
                        </m:r>
                      </m:num>
                      <m:den>
                        <m:r>
                          <a:rPr lang="en-US" altLang="zh-CN" sz="1100" b="0" i="0">
                            <a:latin typeface="Cambria Math" panose="02040503050406030204"/>
                          </a:rPr>
                          <m:t>2</m:t>
                        </m:r>
                      </m:den>
                    </m:f>
                    <m:r>
                      <a:rPr lang="en-US" altLang="zh-CN" sz="1100" b="0" i="0">
                        <a:latin typeface="Cambria Math" panose="02040503050406030204"/>
                      </a:rPr>
                      <m:t>+</m:t>
                    </m:r>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CSD</m:t>
                        </m:r>
                      </m:e>
                      <m:sub>
                        <m:r>
                          <a:rPr lang="en-US" altLang="zh-CN" sz="1100" b="0" i="0">
                            <a:latin typeface="Cambria Math" panose="02040503050406030204"/>
                          </a:rPr>
                          <m:t>1</m:t>
                        </m:r>
                      </m:sub>
                    </m:sSub>
                    <m:r>
                      <a:rPr lang="en-US" altLang="zh-CN" sz="1100" b="0" i="0">
                        <a:latin typeface="Cambria Math" panose="02040503050406030204"/>
                      </a:rPr>
                      <m:t>+</m:t>
                    </m:r>
                    <m:r>
                      <m:rPr>
                        <m:sty m:val="p"/>
                      </m:rPr>
                      <a:rPr lang="en-US" altLang="zh-CN" sz="1100" b="0" i="0">
                        <a:latin typeface="Cambria Math" panose="02040503050406030204"/>
                      </a:rPr>
                      <m:t>ST</m:t>
                    </m:r>
                  </m:oMath>
                </m:oMathPara>
              </a14:m>
              <a:endParaRPr lang="en-US" altLang="zh-CN" sz="1100" b="0" i="0"/>
            </a:p>
          </xdr:txBody>
        </xdr:sp>
      </mc:Choice>
      <mc:Fallback xmlns:r="http://schemas.openxmlformats.org/officeDocument/2006/relationships" xmlns="">
        <xdr:sp>
          <xdr:nvSpPr>
            <xdr:cNvPr id="7" name="TextBox 6"/>
            <xdr:cNvSpPr txBox="1"/>
          </xdr:nvSpPr>
          <xdr:spPr>
            <a:xfrm>
              <a:off x="2050415" y="18415635"/>
              <a:ext cx="3020060" cy="408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X</a:t>
              </a:r>
              <a:r>
                <a:rPr lang="en-US" altLang="zh-CN" sz="1100" b="0">
                  <a:latin typeface="Cambria Math" panose="02040503050406030204"/>
                </a:rPr>
                <a:t>1</a:t>
              </a:r>
              <a:r>
                <a:rPr lang="en-US" altLang="zh-CN" sz="1100" b="0">
                  <a:latin typeface="Cambria Math" panose="02040503050406030204" pitchFamily="18" charset="0"/>
                </a:rPr>
                <a:t>_</a:t>
              </a:r>
              <a:r>
                <a:rPr lang="en-US" altLang="zh-CN" sz="1100" b="0">
                  <a:latin typeface="Cambria Math" panose="02040503050406030204"/>
                </a:rPr>
                <a:t>R</a:t>
              </a:r>
              <a:r>
                <a:rPr lang="en-US" altLang="zh-CN" sz="1100">
                  <a:latin typeface="Cambria Math" panose="02040503050406030204"/>
                </a:rPr>
                <a:t>=</a:t>
              </a:r>
              <a:r>
                <a:rPr lang="en-US" altLang="zh-CN" sz="1100" b="0">
                  <a:latin typeface="Cambria Math" panose="02040503050406030204"/>
                </a:rPr>
                <a:t>CW</a:t>
              </a:r>
              <a:r>
                <a:rPr lang="en-US" altLang="zh-CN" sz="1100" b="0">
                  <a:latin typeface="Cambria Math" panose="02040503050406030204" pitchFamily="18" charset="0"/>
                </a:rPr>
                <a:t>/</a:t>
              </a:r>
              <a:r>
                <a:rPr lang="en-US" altLang="zh-CN" sz="1100" b="0">
                  <a:latin typeface="Cambria Math" panose="02040503050406030204"/>
                </a:rPr>
                <a:t>2</a:t>
              </a:r>
              <a:r>
                <a:rPr lang="en-US" altLang="zh-CN" sz="1100" b="0">
                  <a:latin typeface="Cambria Math" panose="02040503050406030204"/>
                </a:rPr>
                <a:t>+</a:t>
              </a:r>
              <a:r>
                <a:rPr lang="en-US" altLang="zh-CN" sz="1100" b="0">
                  <a:latin typeface="Cambria Math" panose="02040503050406030204"/>
                </a:rPr>
                <a:t>CSD</a:t>
              </a:r>
              <a:r>
                <a:rPr lang="en-US" altLang="zh-CN" sz="1100" b="0">
                  <a:latin typeface="Cambria Math" panose="02040503050406030204" pitchFamily="18" charset="0"/>
                </a:rPr>
                <a:t>_</a:t>
              </a:r>
              <a:r>
                <a:rPr lang="en-US" altLang="zh-CN" sz="1100" b="0">
                  <a:latin typeface="Cambria Math" panose="02040503050406030204"/>
                </a:rPr>
                <a:t>1</a:t>
              </a:r>
              <a:r>
                <a:rPr lang="en-US" altLang="zh-CN" sz="1100" b="0">
                  <a:latin typeface="Cambria Math" panose="02040503050406030204"/>
                </a:rPr>
                <a:t>+</a:t>
              </a:r>
              <a:r>
                <a:rPr lang="en-US" altLang="zh-CN" sz="1100" b="0">
                  <a:latin typeface="Cambria Math" panose="02040503050406030204"/>
                </a:rPr>
                <a:t>ST</a:t>
              </a:r>
              <a:endParaRPr lang="en-US" altLang="zh-CN" sz="1100" b="0" i="0"/>
            </a:p>
          </xdr:txBody>
        </xdr:sp>
      </mc:Fallback>
    </mc:AlternateContent>
    <xdr:clientData/>
  </xdr:oneCellAnchor>
  <xdr:oneCellAnchor>
    <xdr:from>
      <xdr:col>0</xdr:col>
      <xdr:colOff>2061882</xdr:colOff>
      <xdr:row>75</xdr:row>
      <xdr:rowOff>56031</xdr:rowOff>
    </xdr:from>
    <xdr:ext cx="3227294" cy="1550681"/>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2061845" y="21873845"/>
              <a:ext cx="3227070" cy="155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X</m:t>
                        </m:r>
                        <m:r>
                          <a:rPr lang="en-US" altLang="zh-CN" sz="1100" b="0" i="0">
                            <a:latin typeface="Cambria Math" panose="02040503050406030204"/>
                          </a:rPr>
                          <m:t>3</m:t>
                        </m:r>
                      </m:e>
                      <m:sub>
                        <m:r>
                          <m:rPr>
                            <m:sty m:val="p"/>
                          </m:rPr>
                          <a:rPr lang="en-US" altLang="zh-CN" sz="1100" b="0" i="0">
                            <a:latin typeface="Cambria Math" panose="02040503050406030204"/>
                          </a:rPr>
                          <m:t>L</m:t>
                        </m:r>
                        <m:r>
                          <a:rPr lang="en-US" altLang="zh-CN" sz="1100" b="0" i="0">
                            <a:latin typeface="Cambria Math" panose="02040503050406030204"/>
                          </a:rPr>
                          <m:t>0</m:t>
                        </m:r>
                      </m:sub>
                    </m:sSub>
                    <m:r>
                      <a:rPr lang="en-US" altLang="zh-CN" sz="1100" i="0">
                        <a:latin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DW</m:t>
                            </m:r>
                            <m:r>
                              <a:rPr lang="en-US" altLang="zh-CN" sz="1100" b="0" i="0">
                                <a:latin typeface="Cambria Math" panose="02040503050406030204"/>
                                <a:ea typeface="Cambria Math" panose="02040503050406030204"/>
                              </a:rPr>
                              <m:t>−</m:t>
                            </m:r>
                            <m:r>
                              <m:rPr>
                                <m:sty m:val="p"/>
                              </m:rPr>
                              <a:rPr lang="el-GR" altLang="zh-CN" sz="1100" b="0" i="0">
                                <a:latin typeface="Cambria Math" panose="02040503050406030204"/>
                                <a:ea typeface="Cambria Math" panose="02040503050406030204"/>
                              </a:rPr>
                              <m:t>Δ</m:t>
                            </m:r>
                            <m:r>
                              <m:rPr>
                                <m:sty m:val="p"/>
                              </m:rPr>
                              <a:rPr lang="en-US" altLang="zh-CN" sz="1100" b="0" i="0">
                                <a:latin typeface="Cambria Math" panose="02040503050406030204"/>
                                <a:ea typeface="Cambria Math" panose="02040503050406030204"/>
                              </a:rPr>
                              <m:t>W</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,中分2扇</m:t>
                            </m:r>
                          </m:e>
                          <m:e>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DW</m:t>
                            </m:r>
                            <m:r>
                              <a:rPr lang="en-US" altLang="zh-CN" sz="1100" b="0" i="0">
                                <a:latin typeface="Cambria Math" panose="02040503050406030204"/>
                                <a:ea typeface="Cambria Math" panose="02040503050406030204"/>
                              </a:rPr>
                              <m:t>−</m:t>
                            </m:r>
                            <m:r>
                              <m:rPr>
                                <m:sty m:val="p"/>
                              </m:rPr>
                              <a:rPr lang="el-GR" altLang="zh-CN" sz="1100" b="0" i="0">
                                <a:latin typeface="Cambria Math" panose="02040503050406030204"/>
                                <a:ea typeface="Cambria Math" panose="02040503050406030204"/>
                              </a:rPr>
                              <m:t>Δ</m:t>
                            </m:r>
                            <m:r>
                              <m:rPr>
                                <m:sty m:val="p"/>
                              </m:rPr>
                              <a:rPr lang="en-US" altLang="zh-CN" sz="1100" b="0" i="0">
                                <a:latin typeface="Cambria Math" panose="02040503050406030204"/>
                                <a:ea typeface="Cambria Math" panose="02040503050406030204"/>
                              </a:rPr>
                              <m:t>W</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,旁开2扇</m:t>
                            </m:r>
                          </m:e>
                          <m:e>
                            <m:r>
                              <a:rPr lang="en-US" altLang="zh-CN" sz="1100" b="0" i="0">
                                <a:latin typeface="Cambria Math" panose="02040503050406030204"/>
                                <a:ea typeface="Cambria Math" panose="02040503050406030204"/>
                              </a:rPr>
                              <m:t>−</m:t>
                            </m:r>
                            <m:r>
                              <a:rPr lang="en-US" altLang="zh-CN" sz="1100" b="0" i="0">
                                <a:latin typeface="Cambria Math" panose="02040503050406030204" pitchFamily="18" charset="0"/>
                                <a:ea typeface="Cambria Math" panose="02040503050406030204"/>
                              </a:rPr>
                              <m:t>(</m:t>
                            </m:r>
                            <m:f>
                              <m:fPr>
                                <m:ctrlPr>
                                  <a:rPr lang="en-US" altLang="zh-CN" sz="1100" b="0" i="1">
                                    <a:latin typeface="Cambria Math" panose="02040503050406030204" pitchFamily="18" charset="0"/>
                                    <a:ea typeface="Cambria Math" panose="02040503050406030204"/>
                                  </a:rPr>
                                </m:ctrlPr>
                              </m:fPr>
                              <m:num>
                                <m:r>
                                  <a:rPr lang="en-US" altLang="zh-CN" sz="1100" b="0" i="0">
                                    <a:latin typeface="Cambria Math" panose="02040503050406030204" pitchFamily="18" charset="0"/>
                                    <a:ea typeface="Cambria Math" panose="02040503050406030204"/>
                                  </a:rPr>
                                  <m:t>1</m:t>
                                </m:r>
                              </m:num>
                              <m:den>
                                <m:r>
                                  <a:rPr lang="en-US" altLang="zh-CN" sz="1100" b="0" i="0">
                                    <a:latin typeface="Cambria Math" panose="02040503050406030204" pitchFamily="18" charset="0"/>
                                    <a:ea typeface="Cambria Math" panose="02040503050406030204"/>
                                  </a:rPr>
                                  <m:t>2</m:t>
                                </m:r>
                              </m:den>
                            </m:f>
                            <m:r>
                              <a:rPr lang="en-US" altLang="zh-CN" sz="1100" b="0" i="0">
                                <a:latin typeface="Cambria Math" panose="02040503050406030204" pitchFamily="18" charset="0"/>
                                <a:ea typeface="Cambria Math" panose="02040503050406030204"/>
                              </a:rPr>
                              <m:t>+</m:t>
                            </m:r>
                            <m:f>
                              <m:fPr>
                                <m:ctrlPr>
                                  <a:rPr lang="en-US" altLang="zh-CN" sz="1100" b="0" i="1">
                                    <a:latin typeface="Cambria Math" panose="02040503050406030204" pitchFamily="18" charset="0"/>
                                    <a:ea typeface="Cambria Math" panose="02040503050406030204"/>
                                  </a:rPr>
                                </m:ctrlPr>
                              </m:fPr>
                              <m:num>
                                <m:r>
                                  <a:rPr lang="en-US" altLang="zh-CN" sz="1100" b="0" i="0">
                                    <a:latin typeface="Cambria Math" panose="02040503050406030204" pitchFamily="18" charset="0"/>
                                    <a:ea typeface="Cambria Math" panose="02040503050406030204"/>
                                  </a:rPr>
                                  <m:t>1</m:t>
                                </m:r>
                              </m:num>
                              <m:den>
                                <m:r>
                                  <a:rPr lang="en-US" altLang="zh-CN" sz="1100" b="0" i="0">
                                    <a:latin typeface="Cambria Math" panose="02040503050406030204" pitchFamily="18" charset="0"/>
                                    <a:ea typeface="Cambria Math" panose="02040503050406030204"/>
                                  </a:rPr>
                                  <m:t>4</m:t>
                                </m:r>
                              </m:den>
                            </m:f>
                            <m:r>
                              <a:rPr lang="en-US" altLang="zh-CN" sz="1100" b="0" i="0">
                                <a:latin typeface="Cambria Math" panose="02040503050406030204" pitchFamily="18" charset="0"/>
                                <a:ea typeface="Cambria Math" panose="02040503050406030204"/>
                              </a:rPr>
                              <m:t>)</m:t>
                            </m:r>
                            <m:r>
                              <m:rPr>
                                <m:sty m:val="p"/>
                              </m:rPr>
                              <a:rPr lang="en-US" altLang="zh-CN" sz="1100" b="0" i="0">
                                <a:latin typeface="Cambria Math" panose="02040503050406030204"/>
                                <a:ea typeface="Cambria Math" panose="02040503050406030204"/>
                              </a:rPr>
                              <m:t>DW</m:t>
                            </m:r>
                            <m:r>
                              <a:rPr lang="en-US" altLang="zh-CN" sz="1100" b="0" i="0">
                                <a:latin typeface="Cambria Math" panose="02040503050406030204"/>
                                <a:ea typeface="Cambria Math" panose="02040503050406030204"/>
                              </a:rPr>
                              <m:t>−</m:t>
                            </m:r>
                            <m:r>
                              <m:rPr>
                                <m:sty m:val="p"/>
                              </m:rPr>
                              <a:rPr lang="el-GR" altLang="zh-CN" sz="1100" b="0" i="0">
                                <a:latin typeface="Cambria Math" panose="02040503050406030204"/>
                                <a:ea typeface="Cambria Math" panose="02040503050406030204"/>
                              </a:rPr>
                              <m:t>Δ</m:t>
                            </m:r>
                            <m:r>
                              <m:rPr>
                                <m:sty m:val="p"/>
                              </m:rPr>
                              <a:rPr lang="en-US" altLang="zh-CN" sz="1100" b="0" i="0">
                                <a:latin typeface="Cambria Math" panose="02040503050406030204"/>
                                <a:ea typeface="Cambria Math" panose="02040503050406030204"/>
                              </a:rPr>
                              <m:t>W</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,中分4扇</m:t>
                            </m:r>
                          </m:e>
                          <m:e>
                            <m:r>
                              <a:rPr lang="en-US" altLang="zh-CN" sz="1100" b="0" i="0">
                                <a:solidFill>
                                  <a:schemeClr val="tx1"/>
                                </a:solidFill>
                                <a:effectLst/>
                                <a:latin typeface="Cambria Math" panose="02040503050406030204" pitchFamily="18" charset="0"/>
                                <a:ea typeface="+mn-ea"/>
                                <a:cs typeface="+mn-cs"/>
                              </a:rPr>
                              <m:t>−(</m:t>
                            </m:r>
                            <m:f>
                              <m:fPr>
                                <m:ctrlPr>
                                  <a:rPr lang="en-US" altLang="zh-CN" sz="1100" b="0" i="1">
                                    <a:solidFill>
                                      <a:schemeClr val="tx1"/>
                                    </a:solidFill>
                                    <a:effectLst/>
                                    <a:latin typeface="Cambria Math" panose="02040503050406030204" pitchFamily="18" charset="0"/>
                                    <a:ea typeface="+mn-ea"/>
                                    <a:cs typeface="+mn-cs"/>
                                  </a:rPr>
                                </m:ctrlPr>
                              </m:fPr>
                              <m:num>
                                <m:r>
                                  <a:rPr lang="en-US" altLang="zh-CN" sz="1100" b="0" i="0">
                                    <a:solidFill>
                                      <a:schemeClr val="tx1"/>
                                    </a:solidFill>
                                    <a:effectLst/>
                                    <a:latin typeface="Cambria Math" panose="02040503050406030204" pitchFamily="18" charset="0"/>
                                    <a:ea typeface="+mn-ea"/>
                                    <a:cs typeface="+mn-cs"/>
                                  </a:rPr>
                                  <m:t>1</m:t>
                                </m:r>
                              </m:num>
                              <m:den>
                                <m:r>
                                  <a:rPr lang="en-US" altLang="zh-CN" sz="1100" b="0" i="0">
                                    <a:solidFill>
                                      <a:schemeClr val="tx1"/>
                                    </a:solidFill>
                                    <a:effectLst/>
                                    <a:latin typeface="Cambria Math" panose="02040503050406030204" pitchFamily="18" charset="0"/>
                                    <a:ea typeface="+mn-ea"/>
                                    <a:cs typeface="+mn-cs"/>
                                  </a:rPr>
                                  <m:t>2</m:t>
                                </m:r>
                              </m:den>
                            </m:f>
                            <m:r>
                              <a:rPr lang="en-US" altLang="zh-CN" sz="1100" b="0" i="0">
                                <a:solidFill>
                                  <a:schemeClr val="tx1"/>
                                </a:solidFill>
                                <a:effectLst/>
                                <a:latin typeface="Cambria Math" panose="02040503050406030204" pitchFamily="18" charset="0"/>
                                <a:ea typeface="+mn-ea"/>
                                <a:cs typeface="+mn-cs"/>
                              </a:rPr>
                              <m:t>+</m:t>
                            </m:r>
                            <m:f>
                              <m:fPr>
                                <m:ctrlPr>
                                  <a:rPr lang="en-US" altLang="zh-CN" sz="1100" b="0" i="1">
                                    <a:solidFill>
                                      <a:schemeClr val="tx1"/>
                                    </a:solidFill>
                                    <a:effectLst/>
                                    <a:latin typeface="Cambria Math" panose="02040503050406030204" pitchFamily="18" charset="0"/>
                                    <a:ea typeface="+mn-ea"/>
                                    <a:cs typeface="+mn-cs"/>
                                  </a:rPr>
                                </m:ctrlPr>
                              </m:fPr>
                              <m:num>
                                <m:r>
                                  <a:rPr lang="en-US" altLang="zh-CN" sz="1100" b="0" i="0">
                                    <a:solidFill>
                                      <a:schemeClr val="tx1"/>
                                    </a:solidFill>
                                    <a:effectLst/>
                                    <a:latin typeface="Cambria Math" panose="02040503050406030204" pitchFamily="18" charset="0"/>
                                    <a:ea typeface="+mn-ea"/>
                                    <a:cs typeface="+mn-cs"/>
                                  </a:rPr>
                                  <m:t>1</m:t>
                                </m:r>
                              </m:num>
                              <m:den>
                                <m:r>
                                  <a:rPr lang="en-US" altLang="zh-CN" sz="1100" b="0" i="0">
                                    <a:solidFill>
                                      <a:schemeClr val="tx1"/>
                                    </a:solidFill>
                                    <a:effectLst/>
                                    <a:latin typeface="Cambria Math" panose="02040503050406030204" pitchFamily="18" charset="0"/>
                                    <a:ea typeface="+mn-ea"/>
                                    <a:cs typeface="+mn-cs"/>
                                  </a:rPr>
                                  <m:t>3</m:t>
                                </m:r>
                              </m:den>
                            </m:f>
                            <m:r>
                              <a:rPr lang="en-US" altLang="zh-CN" sz="1100" b="0" i="0">
                                <a:solidFill>
                                  <a:schemeClr val="tx1"/>
                                </a:solidFill>
                                <a:effectLst/>
                                <a:latin typeface="Cambria Math" panose="02040503050406030204" pitchFamily="18" charset="0"/>
                                <a:ea typeface="+mn-ea"/>
                                <a:cs typeface="+mn-cs"/>
                              </a:rPr>
                              <m:t>)</m:t>
                            </m:r>
                            <m:r>
                              <m:rPr>
                                <m:sty m:val="p"/>
                              </m:rPr>
                              <a:rPr lang="en-US" altLang="zh-CN" sz="1100" b="0" i="0">
                                <a:solidFill>
                                  <a:schemeClr val="tx1"/>
                                </a:solidFill>
                                <a:effectLst/>
                                <a:latin typeface="Cambria Math" panose="02040503050406030204" pitchFamily="18" charset="0"/>
                                <a:ea typeface="+mn-ea"/>
                                <a:cs typeface="+mn-cs"/>
                              </a:rPr>
                              <m:t>DW</m:t>
                            </m:r>
                            <m:r>
                              <a:rPr lang="en-US" altLang="zh-CN" sz="1100" b="0" i="0">
                                <a:solidFill>
                                  <a:schemeClr val="tx1"/>
                                </a:solidFill>
                                <a:effectLst/>
                                <a:latin typeface="Cambria Math" panose="02040503050406030204" pitchFamily="18" charset="0"/>
                                <a:ea typeface="+mn-ea"/>
                                <a:cs typeface="+mn-cs"/>
                              </a:rPr>
                              <m:t>−</m:t>
                            </m:r>
                            <m:r>
                              <m:rPr>
                                <m:sty m:val="p"/>
                              </m:rPr>
                              <a:rPr lang="el-GR" altLang="zh-CN" sz="1100" b="0" i="0">
                                <a:solidFill>
                                  <a:schemeClr val="tx1"/>
                                </a:solidFill>
                                <a:effectLst/>
                                <a:latin typeface="Cambria Math" panose="02040503050406030204" pitchFamily="18" charset="0"/>
                                <a:ea typeface="+mn-ea"/>
                                <a:cs typeface="+mn-cs"/>
                              </a:rPr>
                              <m:t>Δ</m:t>
                            </m:r>
                            <m:r>
                              <m:rPr>
                                <m:sty m:val="p"/>
                              </m:rPr>
                              <a:rPr lang="en-US" altLang="zh-CN" sz="1100" b="0" i="0">
                                <a:solidFill>
                                  <a:schemeClr val="tx1"/>
                                </a:solidFill>
                                <a:effectLst/>
                                <a:latin typeface="Cambria Math" panose="02040503050406030204" pitchFamily="18" charset="0"/>
                                <a:ea typeface="+mn-ea"/>
                                <a:cs typeface="+mn-cs"/>
                              </a:rPr>
                              <m:t>W</m:t>
                            </m:r>
                            <m:r>
                              <a:rPr lang="en-US" altLang="zh-CN" sz="1100" b="0" i="0">
                                <a:solidFill>
                                  <a:schemeClr val="tx1"/>
                                </a:solidFill>
                                <a:effectLst/>
                                <a:latin typeface="Cambria Math" panose="02040503050406030204" pitchFamily="18" charset="0"/>
                                <a:ea typeface="+mn-ea"/>
                                <a:cs typeface="+mn-cs"/>
                              </a:rPr>
                              <m:t>−</m:t>
                            </m:r>
                            <m:r>
                              <m:rPr>
                                <m:sty m:val="p"/>
                              </m:rPr>
                              <a:rPr lang="en-US" altLang="zh-CN" sz="1100" b="0" i="0">
                                <a:solidFill>
                                  <a:schemeClr val="tx1"/>
                                </a:solidFill>
                                <a:effectLst/>
                                <a:latin typeface="Cambria Math" panose="02040503050406030204" pitchFamily="18" charset="0"/>
                                <a:ea typeface="+mn-ea"/>
                                <a:cs typeface="+mn-cs"/>
                              </a:rPr>
                              <m:t>ST</m:t>
                            </m:r>
                            <m:r>
                              <a:rPr lang="en-US" altLang="zh-CN" sz="1100" b="0" i="0">
                                <a:solidFill>
                                  <a:schemeClr val="tx1"/>
                                </a:solidFill>
                                <a:effectLst/>
                                <a:latin typeface="Cambria Math" panose="02040503050406030204" pitchFamily="18" charset="0"/>
                                <a:ea typeface="+mn-ea"/>
                                <a:cs typeface="+mn-cs"/>
                              </a:rPr>
                              <m:t>,</m:t>
                            </m:r>
                            <m:r>
                              <a:rPr lang="en-US" altLang="zh-CN" sz="1100" b="0" i="0">
                                <a:solidFill>
                                  <a:schemeClr val="tx1"/>
                                </a:solidFill>
                                <a:effectLst/>
                                <a:latin typeface="Cambria Math" panose="02040503050406030204" pitchFamily="18" charset="0"/>
                                <a:ea typeface="+mn-ea"/>
                                <a:cs typeface="+mn-cs"/>
                              </a:rPr>
                              <m:t>旁开</m:t>
                            </m:r>
                            <m:r>
                              <a:rPr lang="en-US" altLang="zh-CN" sz="1100" b="0" i="0">
                                <a:solidFill>
                                  <a:schemeClr val="tx1"/>
                                </a:solidFill>
                                <a:effectLst/>
                                <a:latin typeface="Cambria Math" panose="02040503050406030204" pitchFamily="18" charset="0"/>
                                <a:ea typeface="+mn-ea"/>
                                <a:cs typeface="+mn-cs"/>
                              </a:rPr>
                              <m:t>3</m:t>
                            </m:r>
                            <m:r>
                              <a:rPr lang="en-US" altLang="zh-CN" sz="1100" b="0" i="0">
                                <a:solidFill>
                                  <a:schemeClr val="tx1"/>
                                </a:solidFill>
                                <a:effectLst/>
                                <a:latin typeface="Cambria Math" panose="02040503050406030204" pitchFamily="18" charset="0"/>
                                <a:ea typeface="+mn-ea"/>
                                <a:cs typeface="+mn-cs"/>
                              </a:rPr>
                              <m:t>扇</m:t>
                            </m:r>
                          </m:e>
                          <m:e>
                            <m:r>
                              <a:rPr lang="en-US" altLang="zh-CN" sz="1100" b="0" i="1">
                                <a:solidFill>
                                  <a:schemeClr val="tx1"/>
                                </a:solidFill>
                                <a:effectLst/>
                                <a:latin typeface="Cambria Math" panose="02040503050406030204" pitchFamily="18" charset="0"/>
                                <a:ea typeface="+mn-ea"/>
                                <a:cs typeface="+mn-cs"/>
                              </a:rPr>
                              <m:t>−</m:t>
                            </m:r>
                            <m:d>
                              <m:dPr>
                                <m:ctrlPr>
                                  <a:rPr lang="en-US" altLang="zh-CN" sz="1100" b="0" i="1">
                                    <a:solidFill>
                                      <a:schemeClr val="tx1"/>
                                    </a:solidFill>
                                    <a:effectLst/>
                                    <a:latin typeface="Cambria Math" panose="02040503050406030204" pitchFamily="18" charset="0"/>
                                    <a:ea typeface="+mn-ea"/>
                                    <a:cs typeface="+mn-cs"/>
                                  </a:rPr>
                                </m:ctrlPr>
                              </m:dPr>
                              <m:e>
                                <m:f>
                                  <m:fPr>
                                    <m:ctrlPr>
                                      <a:rPr lang="en-US" altLang="zh-CN" sz="1100" b="0" i="1">
                                        <a:solidFill>
                                          <a:schemeClr val="tx1"/>
                                        </a:solidFill>
                                        <a:effectLst/>
                                        <a:latin typeface="Cambria Math" panose="02040503050406030204" pitchFamily="18" charset="0"/>
                                        <a:ea typeface="+mn-ea"/>
                                        <a:cs typeface="+mn-cs"/>
                                      </a:rPr>
                                    </m:ctrlPr>
                                  </m:fPr>
                                  <m:num>
                                    <m:r>
                                      <a:rPr lang="en-US" altLang="zh-CN" sz="1100" b="0" i="1">
                                        <a:solidFill>
                                          <a:schemeClr val="tx1"/>
                                        </a:solidFill>
                                        <a:effectLst/>
                                        <a:latin typeface="Cambria Math" panose="02040503050406030204" pitchFamily="18" charset="0"/>
                                        <a:ea typeface="+mn-ea"/>
                                        <a:cs typeface="+mn-cs"/>
                                      </a:rPr>
                                      <m:t>1</m:t>
                                    </m:r>
                                  </m:num>
                                  <m:den>
                                    <m:r>
                                      <a:rPr lang="en-US" altLang="zh-CN" sz="1100" b="0" i="1">
                                        <a:solidFill>
                                          <a:schemeClr val="tx1"/>
                                        </a:solidFill>
                                        <a:effectLst/>
                                        <a:latin typeface="Cambria Math" panose="02040503050406030204" pitchFamily="18" charset="0"/>
                                        <a:ea typeface="+mn-ea"/>
                                        <a:cs typeface="+mn-cs"/>
                                      </a:rPr>
                                      <m:t>2</m:t>
                                    </m:r>
                                  </m:den>
                                </m:f>
                                <m:r>
                                  <a:rPr lang="en-US" altLang="zh-CN" sz="1100" b="0" i="1">
                                    <a:solidFill>
                                      <a:schemeClr val="tx1"/>
                                    </a:solidFill>
                                    <a:effectLst/>
                                    <a:latin typeface="Cambria Math" panose="02040503050406030204" pitchFamily="18" charset="0"/>
                                    <a:ea typeface="+mn-ea"/>
                                    <a:cs typeface="+mn-cs"/>
                                  </a:rPr>
                                  <m:t>+</m:t>
                                </m:r>
                                <m:f>
                                  <m:fPr>
                                    <m:ctrlPr>
                                      <a:rPr lang="en-US" altLang="zh-CN" sz="1100" b="0" i="1">
                                        <a:solidFill>
                                          <a:schemeClr val="tx1"/>
                                        </a:solidFill>
                                        <a:effectLst/>
                                        <a:latin typeface="Cambria Math" panose="02040503050406030204" pitchFamily="18" charset="0"/>
                                        <a:ea typeface="+mn-ea"/>
                                        <a:cs typeface="+mn-cs"/>
                                      </a:rPr>
                                    </m:ctrlPr>
                                  </m:fPr>
                                  <m:num>
                                    <m:r>
                                      <a:rPr lang="en-US" altLang="zh-CN" sz="1100" b="0" i="1">
                                        <a:solidFill>
                                          <a:schemeClr val="tx1"/>
                                        </a:solidFill>
                                        <a:effectLst/>
                                        <a:latin typeface="Cambria Math" panose="02040503050406030204" pitchFamily="18" charset="0"/>
                                        <a:ea typeface="+mn-ea"/>
                                        <a:cs typeface="+mn-cs"/>
                                      </a:rPr>
                                      <m:t>1</m:t>
                                    </m:r>
                                  </m:num>
                                  <m:den>
                                    <m:r>
                                      <a:rPr lang="en-US" altLang="zh-CN" sz="1100" b="0" i="1">
                                        <a:solidFill>
                                          <a:schemeClr val="tx1"/>
                                        </a:solidFill>
                                        <a:effectLst/>
                                        <a:latin typeface="Cambria Math" panose="02040503050406030204" pitchFamily="18" charset="0"/>
                                        <a:ea typeface="+mn-ea"/>
                                        <a:cs typeface="+mn-cs"/>
                                      </a:rPr>
                                      <m:t>6</m:t>
                                    </m:r>
                                  </m:den>
                                </m:f>
                              </m:e>
                            </m:d>
                            <m:r>
                              <a:rPr lang="en-US" altLang="zh-CN" sz="1100" b="0" i="1">
                                <a:solidFill>
                                  <a:schemeClr val="tx1"/>
                                </a:solidFill>
                                <a:effectLst/>
                                <a:latin typeface="Cambria Math" panose="02040503050406030204" pitchFamily="18" charset="0"/>
                                <a:ea typeface="+mn-ea"/>
                                <a:cs typeface="+mn-cs"/>
                              </a:rPr>
                              <m:t>𝐷𝑊</m:t>
                            </m:r>
                            <m:r>
                              <a:rPr lang="en-US" altLang="zh-CN" sz="1100" b="0" i="1">
                                <a:solidFill>
                                  <a:schemeClr val="tx1"/>
                                </a:solidFill>
                                <a:effectLst/>
                                <a:latin typeface="Cambria Math" panose="02040503050406030204" pitchFamily="18" charset="0"/>
                                <a:ea typeface="+mn-ea"/>
                                <a:cs typeface="+mn-cs"/>
                              </a:rPr>
                              <m:t>−</m:t>
                            </m:r>
                            <m:r>
                              <m:rPr>
                                <m:sty m:val="p"/>
                              </m:rPr>
                              <a:rPr lang="el-GR" altLang="zh-CN" sz="1100" b="0" i="0">
                                <a:solidFill>
                                  <a:schemeClr val="tx1"/>
                                </a:solidFill>
                                <a:effectLst/>
                                <a:latin typeface="Cambria Math" panose="02040503050406030204" pitchFamily="18" charset="0"/>
                                <a:ea typeface="+mn-ea"/>
                                <a:cs typeface="+mn-cs"/>
                              </a:rPr>
                              <m:t>Δ</m:t>
                            </m:r>
                            <m:r>
                              <m:rPr>
                                <m:sty m:val="p"/>
                              </m:rPr>
                              <a:rPr lang="en-US" altLang="zh-CN" sz="1100" b="0" i="0">
                                <a:solidFill>
                                  <a:schemeClr val="tx1"/>
                                </a:solidFill>
                                <a:effectLst/>
                                <a:latin typeface="Cambria Math" panose="02040503050406030204" pitchFamily="18" charset="0"/>
                                <a:ea typeface="+mn-ea"/>
                                <a:cs typeface="+mn-cs"/>
                              </a:rPr>
                              <m:t>W</m:t>
                            </m:r>
                            <m:r>
                              <a:rPr lang="en-US" altLang="zh-CN" sz="1100" b="0" i="1">
                                <a:solidFill>
                                  <a:schemeClr val="tx1"/>
                                </a:solidFill>
                                <a:effectLst/>
                                <a:latin typeface="Cambria Math" panose="02040503050406030204" pitchFamily="18" charset="0"/>
                                <a:ea typeface="+mn-ea"/>
                                <a:cs typeface="+mn-cs"/>
                              </a:rPr>
                              <m:t>−</m:t>
                            </m:r>
                            <m:r>
                              <a:rPr lang="en-US" altLang="zh-CN" sz="1100" b="0" i="1">
                                <a:solidFill>
                                  <a:schemeClr val="tx1"/>
                                </a:solidFill>
                                <a:effectLst/>
                                <a:latin typeface="Cambria Math" panose="02040503050406030204" pitchFamily="18" charset="0"/>
                                <a:ea typeface="+mn-ea"/>
                                <a:cs typeface="+mn-cs"/>
                              </a:rPr>
                              <m:t>𝑆𝑇</m:t>
                            </m:r>
                            <m:r>
                              <a:rPr lang="en-US" altLang="zh-CN" sz="1100" b="0" i="1">
                                <a:solidFill>
                                  <a:schemeClr val="tx1"/>
                                </a:solidFill>
                                <a:effectLst/>
                                <a:latin typeface="Cambria Math" panose="02040503050406030204" pitchFamily="18" charset="0"/>
                                <a:ea typeface="+mn-ea"/>
                                <a:cs typeface="+mn-cs"/>
                              </a:rPr>
                              <m:t>,</m:t>
                            </m:r>
                            <m:r>
                              <a:rPr lang="zh-CN" altLang="en-US" sz="1100" b="0" i="1">
                                <a:solidFill>
                                  <a:schemeClr val="tx1"/>
                                </a:solidFill>
                                <a:effectLst/>
                                <a:latin typeface="Cambria Math" panose="02040503050406030204" pitchFamily="18" charset="0"/>
                                <a:ea typeface="+mn-ea"/>
                                <a:cs typeface="+mn-cs"/>
                              </a:rPr>
                              <m:t>中分</m:t>
                            </m:r>
                            <m:r>
                              <a:rPr lang="en-US" altLang="zh-CN" sz="1100" b="0" i="1">
                                <a:solidFill>
                                  <a:schemeClr val="tx1"/>
                                </a:solidFill>
                                <a:effectLst/>
                                <a:latin typeface="Cambria Math" panose="02040503050406030204" pitchFamily="18" charset="0"/>
                                <a:ea typeface="+mn-ea"/>
                                <a:cs typeface="+mn-cs"/>
                              </a:rPr>
                              <m:t>6</m:t>
                            </m:r>
                            <m:r>
                              <a:rPr lang="zh-CN" altLang="en-US" sz="1100" b="0" i="1">
                                <a:solidFill>
                                  <a:schemeClr val="tx1"/>
                                </a:solidFill>
                                <a:effectLst/>
                                <a:latin typeface="Cambria Math" panose="02040503050406030204" pitchFamily="18" charset="0"/>
                                <a:ea typeface="+mn-ea"/>
                                <a:cs typeface="+mn-cs"/>
                              </a:rPr>
                              <m:t>扇</m:t>
                            </m:r>
                          </m:e>
                        </m:eqArr>
                      </m:e>
                    </m:d>
                  </m:oMath>
                </m:oMathPara>
              </a14:m>
              <a:endParaRPr lang="zh-CN" altLang="en-US" sz="1100" i="0"/>
            </a:p>
          </xdr:txBody>
        </xdr:sp>
      </mc:Choice>
      <mc:Fallback xmlns:r="http://schemas.openxmlformats.org/officeDocument/2006/relationships" xmlns="">
        <xdr:sp>
          <xdr:nvSpPr>
            <xdr:cNvPr id="8" name="TextBox 7"/>
            <xdr:cNvSpPr txBox="1"/>
          </xdr:nvSpPr>
          <xdr:spPr>
            <a:xfrm>
              <a:off x="2061845" y="21873845"/>
              <a:ext cx="3227070" cy="155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X</a:t>
              </a:r>
              <a:r>
                <a:rPr lang="en-US" altLang="zh-CN" sz="1100" b="0">
                  <a:latin typeface="Cambria Math" panose="02040503050406030204"/>
                </a:rPr>
                <a:t>3</a:t>
              </a:r>
              <a:r>
                <a:rPr lang="en-US" altLang="zh-CN" sz="1100" b="0">
                  <a:latin typeface="Cambria Math" panose="02040503050406030204" pitchFamily="18" charset="0"/>
                </a:rPr>
                <a:t>_</a:t>
              </a:r>
              <a:r>
                <a:rPr lang="en-US" altLang="zh-CN" sz="1100" b="0">
                  <a:latin typeface="Cambria Math" panose="02040503050406030204"/>
                </a:rPr>
                <a:t>L</a:t>
              </a:r>
              <a:r>
                <a:rPr lang="en-US" altLang="zh-CN" sz="1100" b="0">
                  <a:latin typeface="Cambria Math" panose="02040503050406030204"/>
                </a:rPr>
                <a:t>0</a:t>
              </a:r>
              <a:r>
                <a:rPr lang="en-US" altLang="zh-CN" sz="1100">
                  <a:latin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DW</a:t>
              </a:r>
              <a:r>
                <a:rPr lang="en-US" altLang="zh-CN" sz="1100" b="0">
                  <a:latin typeface="Cambria Math" panose="02040503050406030204"/>
                  <a:ea typeface="Cambria Math" panose="02040503050406030204"/>
                </a:rPr>
                <a:t>−</a:t>
              </a:r>
              <a:r>
                <a:rPr lang="el-GR" altLang="zh-CN" sz="1100" b="0">
                  <a:latin typeface="Cambria Math" panose="02040503050406030204"/>
                  <a:ea typeface="Cambria Math" panose="02040503050406030204"/>
                </a:rPr>
                <a:t>Δ</a:t>
              </a:r>
              <a:r>
                <a:rPr lang="en-US" altLang="zh-CN" sz="1100" b="0">
                  <a:latin typeface="Cambria Math" panose="02040503050406030204"/>
                  <a:ea typeface="Cambria Math" panose="02040503050406030204"/>
                </a:rPr>
                <a:t>W</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,中分</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扇</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DW</a:t>
              </a:r>
              <a:r>
                <a:rPr lang="en-US" altLang="zh-CN" sz="1100" b="0">
                  <a:latin typeface="Cambria Math" panose="02040503050406030204"/>
                  <a:ea typeface="Cambria Math" panose="02040503050406030204"/>
                </a:rPr>
                <a:t>−</a:t>
              </a:r>
              <a:r>
                <a:rPr lang="el-GR" altLang="zh-CN" sz="1100" b="0">
                  <a:latin typeface="Cambria Math" panose="02040503050406030204"/>
                  <a:ea typeface="Cambria Math" panose="02040503050406030204"/>
                </a:rPr>
                <a:t>Δ</a:t>
              </a:r>
              <a:r>
                <a:rPr lang="en-US" altLang="zh-CN" sz="1100" b="0">
                  <a:latin typeface="Cambria Math" panose="02040503050406030204"/>
                  <a:ea typeface="Cambria Math" panose="02040503050406030204"/>
                </a:rPr>
                <a:t>W</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,旁开</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扇</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1</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2</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1</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4</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DW</a:t>
              </a:r>
              <a:r>
                <a:rPr lang="en-US" altLang="zh-CN" sz="1100" b="0">
                  <a:latin typeface="Cambria Math" panose="02040503050406030204"/>
                  <a:ea typeface="Cambria Math" panose="02040503050406030204"/>
                </a:rPr>
                <a:t>−</a:t>
              </a:r>
              <a:r>
                <a:rPr lang="el-GR" altLang="zh-CN" sz="1100" b="0">
                  <a:latin typeface="Cambria Math" panose="02040503050406030204"/>
                  <a:ea typeface="Cambria Math" panose="02040503050406030204"/>
                </a:rPr>
                <a:t>Δ</a:t>
              </a:r>
              <a:r>
                <a:rPr lang="en-US" altLang="zh-CN" sz="1100" b="0">
                  <a:latin typeface="Cambria Math" panose="02040503050406030204"/>
                  <a:ea typeface="Cambria Math" panose="02040503050406030204"/>
                </a:rPr>
                <a:t>W</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,中分</a:t>
              </a:r>
              <a:r>
                <a:rPr lang="en-US" altLang="zh-CN" sz="1100" b="0">
                  <a:latin typeface="Cambria Math" panose="02040503050406030204"/>
                  <a:ea typeface="Cambria Math" panose="02040503050406030204"/>
                </a:rPr>
                <a:t>4</a:t>
              </a:r>
              <a:r>
                <a:rPr lang="en-US" altLang="zh-CN" sz="1100" b="0">
                  <a:latin typeface="Cambria Math" panose="02040503050406030204"/>
                  <a:ea typeface="Cambria Math" panose="02040503050406030204"/>
                </a:rPr>
                <a:t>扇</a:t>
              </a:r>
              <a:r>
                <a:rPr lang="en-US" altLang="zh-CN" sz="1100" b="0">
                  <a:latin typeface="Cambria Math" panose="02040503050406030204" pitchFamily="18" charset="0"/>
                  <a:ea typeface="Cambria Math" panose="02040503050406030204"/>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2</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3</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DW</a:t>
              </a:r>
              <a:r>
                <a:rPr lang="en-US" altLang="zh-CN" sz="1100" b="0">
                  <a:solidFill>
                    <a:schemeClr val="tx1"/>
                  </a:solidFill>
                  <a:effectLst/>
                  <a:latin typeface="Cambria Math" panose="02040503050406030204" pitchFamily="18" charset="0"/>
                  <a:ea typeface="+mn-ea"/>
                  <a:cs typeface="+mn-cs"/>
                </a:rPr>
                <a:t>−</a:t>
              </a:r>
              <a:r>
                <a:rPr lang="el-GR" altLang="zh-CN" sz="1100" b="0">
                  <a:solidFill>
                    <a:schemeClr val="tx1"/>
                  </a:solidFill>
                  <a:effectLst/>
                  <a:latin typeface="Cambria Math" panose="02040503050406030204" pitchFamily="18" charset="0"/>
                  <a:ea typeface="+mn-ea"/>
                  <a:cs typeface="+mn-cs"/>
                </a:rPr>
                <a:t>Δ</a:t>
              </a:r>
              <a:r>
                <a:rPr lang="en-US" altLang="zh-CN" sz="1100" b="0">
                  <a:solidFill>
                    <a:schemeClr val="tx1"/>
                  </a:solidFill>
                  <a:effectLst/>
                  <a:latin typeface="Cambria Math" panose="02040503050406030204" pitchFamily="18" charset="0"/>
                  <a:ea typeface="+mn-ea"/>
                  <a:cs typeface="+mn-cs"/>
                </a:rPr>
                <a:t>W</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ST</a:t>
              </a:r>
              <a:r>
                <a:rPr lang="en-US" altLang="zh-CN" sz="1100" b="0">
                  <a:solidFill>
                    <a:schemeClr val="tx1"/>
                  </a:solidFill>
                  <a:effectLst/>
                  <a:latin typeface="Cambria Math" panose="02040503050406030204" pitchFamily="18" charset="0"/>
                  <a:ea typeface="+mn-ea"/>
                  <a:cs typeface="+mn-cs"/>
                </a:rPr>
                <a:t>,旁开</a:t>
              </a:r>
              <a:r>
                <a:rPr lang="en-US" altLang="zh-CN" sz="1100" b="0">
                  <a:solidFill>
                    <a:schemeClr val="tx1"/>
                  </a:solidFill>
                  <a:effectLst/>
                  <a:latin typeface="Cambria Math" panose="02040503050406030204" pitchFamily="18" charset="0"/>
                  <a:ea typeface="+mn-ea"/>
                  <a:cs typeface="+mn-cs"/>
                </a:rPr>
                <a:t>3</a:t>
              </a:r>
              <a:r>
                <a:rPr lang="en-US" altLang="zh-CN" sz="1100" b="0">
                  <a:solidFill>
                    <a:schemeClr val="tx1"/>
                  </a:solidFill>
                  <a:effectLst/>
                  <a:latin typeface="Cambria Math" panose="02040503050406030204" pitchFamily="18" charset="0"/>
                  <a:ea typeface="+mn-ea"/>
                  <a:cs typeface="+mn-cs"/>
                </a:rPr>
                <a:t>扇</a:t>
              </a:r>
              <a:r>
                <a:rPr lang="en-US" altLang="zh-CN" sz="1100" b="0">
                  <a:latin typeface="Cambria Math" panose="02040503050406030204" pitchFamily="18" charset="0"/>
                  <a:ea typeface="Cambria Math" panose="02040503050406030204"/>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2</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6</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𝐷𝑊</a:t>
              </a:r>
              <a:r>
                <a:rPr lang="en-US" altLang="zh-CN" sz="1100" b="0">
                  <a:solidFill>
                    <a:schemeClr val="tx1"/>
                  </a:solidFill>
                  <a:effectLst/>
                  <a:latin typeface="Cambria Math" panose="02040503050406030204" pitchFamily="18" charset="0"/>
                  <a:ea typeface="+mn-ea"/>
                  <a:cs typeface="+mn-cs"/>
                </a:rPr>
                <a:t>−</a:t>
              </a:r>
              <a:r>
                <a:rPr lang="el-GR" altLang="zh-CN" sz="1100" b="0">
                  <a:solidFill>
                    <a:schemeClr val="tx1"/>
                  </a:solidFill>
                  <a:effectLst/>
                  <a:latin typeface="Cambria Math" panose="02040503050406030204" pitchFamily="18" charset="0"/>
                  <a:ea typeface="+mn-ea"/>
                  <a:cs typeface="+mn-cs"/>
                </a:rPr>
                <a:t>Δ</a:t>
              </a:r>
              <a:r>
                <a:rPr lang="en-US" altLang="zh-CN" sz="1100" b="0">
                  <a:solidFill>
                    <a:schemeClr val="tx1"/>
                  </a:solidFill>
                  <a:effectLst/>
                  <a:latin typeface="Cambria Math" panose="02040503050406030204" pitchFamily="18" charset="0"/>
                  <a:ea typeface="+mn-ea"/>
                  <a:cs typeface="+mn-cs"/>
                </a:rPr>
                <a:t>W</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𝑆𝑇</a:t>
              </a:r>
              <a:r>
                <a:rPr lang="en-US" altLang="zh-CN" sz="1100" b="0">
                  <a:solidFill>
                    <a:schemeClr val="tx1"/>
                  </a:solidFill>
                  <a:effectLst/>
                  <a:latin typeface="Cambria Math" panose="02040503050406030204" pitchFamily="18" charset="0"/>
                  <a:ea typeface="+mn-ea"/>
                  <a:cs typeface="+mn-cs"/>
                </a:rPr>
                <a:t>,</a:t>
              </a:r>
              <a:r>
                <a:rPr lang="zh-CN" altLang="en-US" sz="1100" b="0">
                  <a:solidFill>
                    <a:schemeClr val="tx1"/>
                  </a:solidFill>
                  <a:effectLst/>
                  <a:latin typeface="Cambria Math" panose="02040503050406030204" pitchFamily="18" charset="0"/>
                  <a:ea typeface="+mn-ea"/>
                  <a:cs typeface="+mn-cs"/>
                </a:rPr>
                <a:t>中分</a:t>
              </a:r>
              <a:r>
                <a:rPr lang="en-US" altLang="zh-CN" sz="1100" b="0">
                  <a:solidFill>
                    <a:schemeClr val="tx1"/>
                  </a:solidFill>
                  <a:effectLst/>
                  <a:latin typeface="Cambria Math" panose="02040503050406030204" pitchFamily="18" charset="0"/>
                  <a:ea typeface="+mn-ea"/>
                  <a:cs typeface="+mn-cs"/>
                </a:rPr>
                <a:t>6</a:t>
              </a:r>
              <a:r>
                <a:rPr lang="zh-CN" altLang="en-US" sz="1100" b="0">
                  <a:solidFill>
                    <a:schemeClr val="tx1"/>
                  </a:solidFill>
                  <a:effectLst/>
                  <a:latin typeface="Cambria Math" panose="02040503050406030204" pitchFamily="18" charset="0"/>
                  <a:ea typeface="+mn-ea"/>
                  <a:cs typeface="+mn-cs"/>
                </a:rPr>
                <a:t>扇</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2034988</xdr:colOff>
      <xdr:row>76</xdr:row>
      <xdr:rowOff>33620</xdr:rowOff>
    </xdr:from>
    <xdr:ext cx="3263153" cy="1451551"/>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2034540" y="23474045"/>
              <a:ext cx="3263265" cy="1451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X</m:t>
                        </m:r>
                        <m:r>
                          <a:rPr lang="en-US" altLang="zh-CN" sz="1100" b="0" i="0">
                            <a:latin typeface="Cambria Math" panose="02040503050406030204"/>
                          </a:rPr>
                          <m:t>3</m:t>
                        </m:r>
                      </m:e>
                      <m:sub>
                        <m:r>
                          <m:rPr>
                            <m:sty m:val="p"/>
                          </m:rPr>
                          <a:rPr lang="en-US" altLang="zh-CN" sz="1100" b="0" i="0">
                            <a:latin typeface="Cambria Math" panose="02040503050406030204"/>
                          </a:rPr>
                          <m:t>R</m:t>
                        </m:r>
                        <m:r>
                          <a:rPr lang="en-US" altLang="zh-CN" sz="1100" b="0" i="1">
                            <a:latin typeface="Cambria Math" panose="02040503050406030204"/>
                          </a:rPr>
                          <m:t>0</m:t>
                        </m:r>
                      </m:sub>
                    </m:sSub>
                    <m:r>
                      <a:rPr lang="en-US" altLang="zh-CN" sz="1100" i="0">
                        <a:latin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r>
                              <m:rPr>
                                <m:sty m:val="p"/>
                              </m:rPr>
                              <a:rPr lang="en-US" altLang="zh-CN" sz="1100" b="0" i="0">
                                <a:latin typeface="Cambria Math" panose="02040503050406030204"/>
                                <a:ea typeface="Cambria Math" panose="02040503050406030204"/>
                              </a:rPr>
                              <m:t>DW</m:t>
                            </m:r>
                            <m:r>
                              <a:rPr lang="en-US" altLang="zh-CN" sz="1100" b="0" i="0">
                                <a:latin typeface="Cambria Math" panose="02040503050406030204"/>
                                <a:ea typeface="Cambria Math" panose="02040503050406030204"/>
                              </a:rPr>
                              <m:t>+</m:t>
                            </m:r>
                            <m:r>
                              <m:rPr>
                                <m:sty m:val="p"/>
                              </m:rPr>
                              <a:rPr lang="el-GR" altLang="zh-CN" sz="1100" b="0" i="0">
                                <a:latin typeface="Cambria Math" panose="02040503050406030204"/>
                                <a:ea typeface="Cambria Math" panose="02040503050406030204"/>
                              </a:rPr>
                              <m:t>Δ</m:t>
                            </m:r>
                            <m:r>
                              <m:rPr>
                                <m:sty m:val="p"/>
                              </m:rPr>
                              <a:rPr lang="en-US" altLang="zh-CN" sz="1100" b="0" i="0">
                                <a:latin typeface="Cambria Math" panose="02040503050406030204"/>
                                <a:ea typeface="Cambria Math" panose="02040503050406030204"/>
                              </a:rPr>
                              <m:t>W</m:t>
                            </m:r>
                            <m:r>
                              <a:rPr lang="en-US" altLang="zh-CN" sz="1100" b="0" i="0">
                                <a:latin typeface="Cambria Math" panose="02040503050406030204" pitchFamily="18" charset="0"/>
                                <a:ea typeface="Cambria Math" panose="02040503050406030204"/>
                              </a:rPr>
                              <m:t>′</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,中分2扇</m:t>
                            </m:r>
                          </m:e>
                          <m:e>
                            <m:r>
                              <a:rPr lang="en-US" altLang="zh-CN" sz="1100" b="0" i="0">
                                <a:latin typeface="Cambria Math" panose="02040503050406030204"/>
                                <a:ea typeface="Cambria Math" panose="02040503050406030204"/>
                              </a:rPr>
                              <m:t>0.5</m:t>
                            </m:r>
                            <m:r>
                              <m:rPr>
                                <m:sty m:val="p"/>
                              </m:rPr>
                              <a:rPr lang="en-US" altLang="zh-CN" sz="1100" b="0" i="0">
                                <a:latin typeface="Cambria Math" panose="02040503050406030204" pitchFamily="18" charset="0"/>
                                <a:ea typeface="Cambria Math" panose="02040503050406030204"/>
                              </a:rPr>
                              <m:t>D</m:t>
                            </m:r>
                            <m:r>
                              <m:rPr>
                                <m:sty m:val="p"/>
                              </m:rPr>
                              <a:rPr lang="en-US" altLang="zh-CN" sz="1100" b="0" i="0">
                                <a:latin typeface="Cambria Math" panose="02040503050406030204"/>
                                <a:ea typeface="Cambria Math" panose="02040503050406030204"/>
                              </a:rPr>
                              <m:t>W</m:t>
                            </m:r>
                            <m:r>
                              <a:rPr lang="en-US" altLang="zh-CN" sz="1100" b="0" i="0">
                                <a:latin typeface="Cambria Math" panose="02040503050406030204"/>
                                <a:ea typeface="Cambria Math" panose="02040503050406030204"/>
                              </a:rPr>
                              <m:t>+</m:t>
                            </m:r>
                            <m:r>
                              <m:rPr>
                                <m:sty m:val="p"/>
                              </m:rPr>
                              <a:rPr lang="el-GR" altLang="zh-CN" sz="1100" b="0" i="0">
                                <a:solidFill>
                                  <a:schemeClr val="tx1"/>
                                </a:solidFill>
                                <a:effectLst/>
                                <a:latin typeface="Cambria Math" panose="02040503050406030204" pitchFamily="18" charset="0"/>
                                <a:ea typeface="+mn-ea"/>
                                <a:cs typeface="+mn-cs"/>
                              </a:rPr>
                              <m:t>Δ</m:t>
                            </m:r>
                            <m:r>
                              <m:rPr>
                                <m:sty m:val="p"/>
                              </m:rPr>
                              <a:rPr lang="en-US" altLang="zh-CN" sz="1100" b="0" i="0">
                                <a:solidFill>
                                  <a:schemeClr val="tx1"/>
                                </a:solidFill>
                                <a:effectLst/>
                                <a:latin typeface="Cambria Math" panose="02040503050406030204" pitchFamily="18" charset="0"/>
                                <a:ea typeface="+mn-ea"/>
                                <a:cs typeface="+mn-cs"/>
                              </a:rPr>
                              <m:t>W</m:t>
                            </m:r>
                            <m:r>
                              <a:rPr lang="en-US" altLang="zh-CN" sz="1100" b="0" i="0">
                                <a:solidFill>
                                  <a:schemeClr val="tx1"/>
                                </a:solidFill>
                                <a:effectLst/>
                                <a:latin typeface="Cambria Math" panose="02040503050406030204" pitchFamily="18" charset="0"/>
                                <a:ea typeface="+mn-ea"/>
                                <a:cs typeface="+mn-cs"/>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,旁开2扇</m:t>
                            </m:r>
                          </m:e>
                          <m:e>
                            <m:d>
                              <m:dPr>
                                <m:ctrlPr>
                                  <a:rPr lang="en-US" altLang="zh-CN" sz="1100" b="0" i="1">
                                    <a:solidFill>
                                      <a:schemeClr val="tx1"/>
                                    </a:solidFill>
                                    <a:effectLst/>
                                    <a:latin typeface="Cambria Math" panose="02040503050406030204" pitchFamily="18" charset="0"/>
                                    <a:ea typeface="+mn-ea"/>
                                    <a:cs typeface="+mn-cs"/>
                                  </a:rPr>
                                </m:ctrlPr>
                              </m:dPr>
                              <m:e>
                                <m:f>
                                  <m:fPr>
                                    <m:ctrlPr>
                                      <a:rPr lang="en-US" altLang="zh-CN" sz="1100" b="0" i="1">
                                        <a:solidFill>
                                          <a:schemeClr val="tx1"/>
                                        </a:solidFill>
                                        <a:effectLst/>
                                        <a:latin typeface="Cambria Math" panose="02040503050406030204" pitchFamily="18" charset="0"/>
                                        <a:ea typeface="+mn-ea"/>
                                        <a:cs typeface="+mn-cs"/>
                                      </a:rPr>
                                    </m:ctrlPr>
                                  </m:fPr>
                                  <m:num>
                                    <m:r>
                                      <a:rPr lang="en-US" altLang="zh-CN" sz="1100" b="0" i="0">
                                        <a:solidFill>
                                          <a:schemeClr val="tx1"/>
                                        </a:solidFill>
                                        <a:effectLst/>
                                        <a:latin typeface="Cambria Math" panose="02040503050406030204" pitchFamily="18" charset="0"/>
                                        <a:ea typeface="+mn-ea"/>
                                        <a:cs typeface="+mn-cs"/>
                                      </a:rPr>
                                      <m:t>1</m:t>
                                    </m:r>
                                  </m:num>
                                  <m:den>
                                    <m:r>
                                      <a:rPr lang="en-US" altLang="zh-CN" sz="1100" b="0" i="0">
                                        <a:solidFill>
                                          <a:schemeClr val="tx1"/>
                                        </a:solidFill>
                                        <a:effectLst/>
                                        <a:latin typeface="Cambria Math" panose="02040503050406030204" pitchFamily="18" charset="0"/>
                                        <a:ea typeface="+mn-ea"/>
                                        <a:cs typeface="+mn-cs"/>
                                      </a:rPr>
                                      <m:t>2</m:t>
                                    </m:r>
                                  </m:den>
                                </m:f>
                                <m:r>
                                  <a:rPr lang="en-US" altLang="zh-CN" sz="1100" b="0" i="0">
                                    <a:solidFill>
                                      <a:schemeClr val="tx1"/>
                                    </a:solidFill>
                                    <a:effectLst/>
                                    <a:latin typeface="Cambria Math" panose="02040503050406030204" pitchFamily="18" charset="0"/>
                                    <a:ea typeface="+mn-ea"/>
                                    <a:cs typeface="+mn-cs"/>
                                  </a:rPr>
                                  <m:t>+</m:t>
                                </m:r>
                                <m:f>
                                  <m:fPr>
                                    <m:ctrlPr>
                                      <a:rPr lang="en-US" altLang="zh-CN" sz="1100" b="0" i="1">
                                        <a:solidFill>
                                          <a:schemeClr val="tx1"/>
                                        </a:solidFill>
                                        <a:effectLst/>
                                        <a:latin typeface="Cambria Math" panose="02040503050406030204" pitchFamily="18" charset="0"/>
                                        <a:ea typeface="+mn-ea"/>
                                        <a:cs typeface="+mn-cs"/>
                                      </a:rPr>
                                    </m:ctrlPr>
                                  </m:fPr>
                                  <m:num>
                                    <m:r>
                                      <a:rPr lang="en-US" altLang="zh-CN" sz="1100" b="0" i="0">
                                        <a:solidFill>
                                          <a:schemeClr val="tx1"/>
                                        </a:solidFill>
                                        <a:effectLst/>
                                        <a:latin typeface="Cambria Math" panose="02040503050406030204" pitchFamily="18" charset="0"/>
                                        <a:ea typeface="+mn-ea"/>
                                        <a:cs typeface="+mn-cs"/>
                                      </a:rPr>
                                      <m:t>1</m:t>
                                    </m:r>
                                  </m:num>
                                  <m:den>
                                    <m:r>
                                      <a:rPr lang="en-US" altLang="zh-CN" sz="1100" b="0" i="0">
                                        <a:solidFill>
                                          <a:schemeClr val="tx1"/>
                                        </a:solidFill>
                                        <a:effectLst/>
                                        <a:latin typeface="Cambria Math" panose="02040503050406030204" pitchFamily="18" charset="0"/>
                                        <a:ea typeface="+mn-ea"/>
                                        <a:cs typeface="+mn-cs"/>
                                      </a:rPr>
                                      <m:t>4</m:t>
                                    </m:r>
                                  </m:den>
                                </m:f>
                              </m:e>
                            </m:d>
                            <m:r>
                              <m:rPr>
                                <m:sty m:val="p"/>
                              </m:rPr>
                              <a:rPr lang="en-US" altLang="zh-CN" sz="1100" b="0" i="0">
                                <a:solidFill>
                                  <a:schemeClr val="tx1"/>
                                </a:solidFill>
                                <a:effectLst/>
                                <a:latin typeface="Cambria Math" panose="02040503050406030204" pitchFamily="18" charset="0"/>
                                <a:ea typeface="+mn-ea"/>
                                <a:cs typeface="+mn-cs"/>
                              </a:rPr>
                              <m:t>DW</m:t>
                            </m:r>
                            <m:r>
                              <a:rPr lang="en-US" altLang="zh-CN" sz="1100" b="0" i="0">
                                <a:solidFill>
                                  <a:schemeClr val="tx1"/>
                                </a:solidFill>
                                <a:effectLst/>
                                <a:latin typeface="Cambria Math" panose="02040503050406030204" pitchFamily="18" charset="0"/>
                                <a:ea typeface="+mn-ea"/>
                                <a:cs typeface="+mn-cs"/>
                              </a:rPr>
                              <m:t>+</m:t>
                            </m:r>
                            <m:r>
                              <m:rPr>
                                <m:sty m:val="p"/>
                              </m:rPr>
                              <a:rPr lang="el-GR" altLang="zh-CN" sz="1100" b="0" i="0">
                                <a:solidFill>
                                  <a:schemeClr val="tx1"/>
                                </a:solidFill>
                                <a:effectLst/>
                                <a:latin typeface="Cambria Math" panose="02040503050406030204" pitchFamily="18" charset="0"/>
                                <a:ea typeface="+mn-ea"/>
                                <a:cs typeface="+mn-cs"/>
                              </a:rPr>
                              <m:t>Δ</m:t>
                            </m:r>
                            <m:r>
                              <m:rPr>
                                <m:sty m:val="p"/>
                              </m:rPr>
                              <a:rPr lang="en-US" altLang="zh-CN" sz="1100" b="0" i="0">
                                <a:solidFill>
                                  <a:schemeClr val="tx1"/>
                                </a:solidFill>
                                <a:effectLst/>
                                <a:latin typeface="Cambria Math" panose="02040503050406030204" pitchFamily="18" charset="0"/>
                                <a:ea typeface="+mn-ea"/>
                                <a:cs typeface="+mn-cs"/>
                              </a:rPr>
                              <m:t>W</m:t>
                            </m:r>
                            <m:r>
                              <a:rPr lang="en-US" altLang="zh-CN" sz="1100" b="0" i="0">
                                <a:solidFill>
                                  <a:schemeClr val="tx1"/>
                                </a:solidFill>
                                <a:effectLst/>
                                <a:latin typeface="Cambria Math" panose="02040503050406030204" pitchFamily="18" charset="0"/>
                                <a:ea typeface="+mn-ea"/>
                                <a:cs typeface="+mn-cs"/>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,中分4扇</m:t>
                            </m:r>
                          </m:e>
                          <m:e>
                            <m:r>
                              <a:rPr lang="en-US" altLang="zh-CN" sz="1100" b="0" i="0">
                                <a:solidFill>
                                  <a:schemeClr val="tx1"/>
                                </a:solidFill>
                                <a:effectLst/>
                                <a:latin typeface="Cambria Math" panose="02040503050406030204" pitchFamily="18" charset="0"/>
                                <a:ea typeface="+mn-ea"/>
                                <a:cs typeface="+mn-cs"/>
                              </a:rPr>
                              <m:t>0.5</m:t>
                            </m:r>
                            <m:r>
                              <m:rPr>
                                <m:sty m:val="p"/>
                              </m:rPr>
                              <a:rPr lang="en-US" altLang="zh-CN" sz="1100" b="0" i="0">
                                <a:solidFill>
                                  <a:schemeClr val="tx1"/>
                                </a:solidFill>
                                <a:effectLst/>
                                <a:latin typeface="Cambria Math" panose="02040503050406030204" pitchFamily="18" charset="0"/>
                                <a:ea typeface="+mn-ea"/>
                                <a:cs typeface="+mn-cs"/>
                              </a:rPr>
                              <m:t>DW</m:t>
                            </m:r>
                            <m:r>
                              <a:rPr lang="en-US" altLang="zh-CN" sz="1100" b="0" i="0">
                                <a:solidFill>
                                  <a:schemeClr val="tx1"/>
                                </a:solidFill>
                                <a:effectLst/>
                                <a:latin typeface="Cambria Math" panose="02040503050406030204" pitchFamily="18" charset="0"/>
                                <a:ea typeface="+mn-ea"/>
                                <a:cs typeface="+mn-cs"/>
                              </a:rPr>
                              <m:t>+</m:t>
                            </m:r>
                            <m:r>
                              <m:rPr>
                                <m:sty m:val="p"/>
                              </m:rPr>
                              <a:rPr lang="el-GR" altLang="zh-CN" sz="1100" b="0" i="0">
                                <a:solidFill>
                                  <a:schemeClr val="tx1"/>
                                </a:solidFill>
                                <a:effectLst/>
                                <a:latin typeface="Cambria Math" panose="02040503050406030204" pitchFamily="18" charset="0"/>
                                <a:ea typeface="+mn-ea"/>
                                <a:cs typeface="+mn-cs"/>
                              </a:rPr>
                              <m:t>Δ</m:t>
                            </m:r>
                            <m:r>
                              <m:rPr>
                                <m:sty m:val="p"/>
                              </m:rPr>
                              <a:rPr lang="en-US" altLang="zh-CN" sz="1100" b="0" i="0">
                                <a:solidFill>
                                  <a:schemeClr val="tx1"/>
                                </a:solidFill>
                                <a:effectLst/>
                                <a:latin typeface="Cambria Math" panose="02040503050406030204" pitchFamily="18" charset="0"/>
                                <a:ea typeface="+mn-ea"/>
                                <a:cs typeface="+mn-cs"/>
                              </a:rPr>
                              <m:t>W</m:t>
                            </m:r>
                            <m:r>
                              <a:rPr lang="en-US" altLang="zh-CN" sz="1100" b="0" i="0">
                                <a:solidFill>
                                  <a:schemeClr val="tx1"/>
                                </a:solidFill>
                                <a:effectLst/>
                                <a:latin typeface="Cambria Math" panose="02040503050406030204" pitchFamily="18" charset="0"/>
                                <a:ea typeface="+mn-ea"/>
                                <a:cs typeface="+mn-cs"/>
                              </a:rPr>
                              <m:t>′+</m:t>
                            </m:r>
                            <m:r>
                              <m:rPr>
                                <m:sty m:val="p"/>
                              </m:rPr>
                              <a:rPr lang="en-US" altLang="zh-CN" sz="1100" b="0" i="0">
                                <a:solidFill>
                                  <a:schemeClr val="tx1"/>
                                </a:solidFill>
                                <a:effectLst/>
                                <a:latin typeface="Cambria Math" panose="02040503050406030204" pitchFamily="18" charset="0"/>
                                <a:ea typeface="+mn-ea"/>
                                <a:cs typeface="+mn-cs"/>
                              </a:rPr>
                              <m:t>ST</m:t>
                            </m:r>
                            <m:r>
                              <a:rPr lang="en-US" altLang="zh-CN" sz="1100" b="0" i="0">
                                <a:solidFill>
                                  <a:schemeClr val="tx1"/>
                                </a:solidFill>
                                <a:effectLst/>
                                <a:latin typeface="Cambria Math" panose="02040503050406030204" pitchFamily="18" charset="0"/>
                                <a:ea typeface="+mn-ea"/>
                                <a:cs typeface="+mn-cs"/>
                              </a:rPr>
                              <m:t>,</m:t>
                            </m:r>
                            <m:r>
                              <a:rPr lang="en-US" altLang="zh-CN" sz="1100" b="0" i="0">
                                <a:solidFill>
                                  <a:schemeClr val="tx1"/>
                                </a:solidFill>
                                <a:effectLst/>
                                <a:latin typeface="Cambria Math" panose="02040503050406030204" pitchFamily="18" charset="0"/>
                                <a:ea typeface="+mn-ea"/>
                                <a:cs typeface="+mn-cs"/>
                              </a:rPr>
                              <m:t>旁开</m:t>
                            </m:r>
                            <m:r>
                              <a:rPr lang="en-US" altLang="zh-CN" sz="1100" b="0" i="0">
                                <a:solidFill>
                                  <a:schemeClr val="tx1"/>
                                </a:solidFill>
                                <a:effectLst/>
                                <a:latin typeface="Cambria Math" panose="02040503050406030204" pitchFamily="18" charset="0"/>
                                <a:ea typeface="+mn-ea"/>
                                <a:cs typeface="+mn-cs"/>
                              </a:rPr>
                              <m:t>3</m:t>
                            </m:r>
                            <m:r>
                              <a:rPr lang="en-US" altLang="zh-CN" sz="1100" b="0" i="0">
                                <a:solidFill>
                                  <a:schemeClr val="tx1"/>
                                </a:solidFill>
                                <a:effectLst/>
                                <a:latin typeface="Cambria Math" panose="02040503050406030204" pitchFamily="18" charset="0"/>
                                <a:ea typeface="+mn-ea"/>
                                <a:cs typeface="+mn-cs"/>
                              </a:rPr>
                              <m:t>扇</m:t>
                            </m:r>
                          </m:e>
                          <m:e>
                            <m:d>
                              <m:dPr>
                                <m:ctrlPr>
                                  <a:rPr lang="en-US" altLang="zh-CN" sz="1100" b="0" i="1">
                                    <a:solidFill>
                                      <a:schemeClr val="tx1"/>
                                    </a:solidFill>
                                    <a:effectLst/>
                                    <a:latin typeface="Cambria Math" panose="02040503050406030204" pitchFamily="18" charset="0"/>
                                    <a:ea typeface="+mn-ea"/>
                                    <a:cs typeface="+mn-cs"/>
                                  </a:rPr>
                                </m:ctrlPr>
                              </m:dPr>
                              <m:e>
                                <m:f>
                                  <m:fPr>
                                    <m:ctrlPr>
                                      <a:rPr lang="en-US" altLang="zh-CN" sz="1100" b="0" i="1">
                                        <a:solidFill>
                                          <a:schemeClr val="tx1"/>
                                        </a:solidFill>
                                        <a:effectLst/>
                                        <a:latin typeface="Cambria Math" panose="02040503050406030204" pitchFamily="18" charset="0"/>
                                        <a:ea typeface="+mn-ea"/>
                                        <a:cs typeface="+mn-cs"/>
                                      </a:rPr>
                                    </m:ctrlPr>
                                  </m:fPr>
                                  <m:num>
                                    <m:r>
                                      <a:rPr lang="en-US" altLang="zh-CN" sz="1100" b="0" i="1">
                                        <a:solidFill>
                                          <a:schemeClr val="tx1"/>
                                        </a:solidFill>
                                        <a:effectLst/>
                                        <a:latin typeface="Cambria Math" panose="02040503050406030204" pitchFamily="18" charset="0"/>
                                        <a:ea typeface="+mn-ea"/>
                                        <a:cs typeface="+mn-cs"/>
                                      </a:rPr>
                                      <m:t>1</m:t>
                                    </m:r>
                                  </m:num>
                                  <m:den>
                                    <m:r>
                                      <a:rPr lang="en-US" altLang="zh-CN" sz="1100" b="0" i="1">
                                        <a:solidFill>
                                          <a:schemeClr val="tx1"/>
                                        </a:solidFill>
                                        <a:effectLst/>
                                        <a:latin typeface="Cambria Math" panose="02040503050406030204" pitchFamily="18" charset="0"/>
                                        <a:ea typeface="+mn-ea"/>
                                        <a:cs typeface="+mn-cs"/>
                                      </a:rPr>
                                      <m:t>2</m:t>
                                    </m:r>
                                  </m:den>
                                </m:f>
                                <m:r>
                                  <a:rPr lang="en-US" altLang="zh-CN" sz="1100" b="0" i="1">
                                    <a:solidFill>
                                      <a:schemeClr val="tx1"/>
                                    </a:solidFill>
                                    <a:effectLst/>
                                    <a:latin typeface="Cambria Math" panose="02040503050406030204" pitchFamily="18" charset="0"/>
                                    <a:ea typeface="+mn-ea"/>
                                    <a:cs typeface="+mn-cs"/>
                                  </a:rPr>
                                  <m:t>+</m:t>
                                </m:r>
                                <m:f>
                                  <m:fPr>
                                    <m:ctrlPr>
                                      <a:rPr lang="en-US" altLang="zh-CN" sz="1100" b="0" i="1">
                                        <a:solidFill>
                                          <a:schemeClr val="tx1"/>
                                        </a:solidFill>
                                        <a:effectLst/>
                                        <a:latin typeface="Cambria Math" panose="02040503050406030204" pitchFamily="18" charset="0"/>
                                        <a:ea typeface="+mn-ea"/>
                                        <a:cs typeface="+mn-cs"/>
                                      </a:rPr>
                                    </m:ctrlPr>
                                  </m:fPr>
                                  <m:num>
                                    <m:r>
                                      <a:rPr lang="en-US" altLang="zh-CN" sz="1100" b="0" i="1">
                                        <a:solidFill>
                                          <a:schemeClr val="tx1"/>
                                        </a:solidFill>
                                        <a:effectLst/>
                                        <a:latin typeface="Cambria Math" panose="02040503050406030204" pitchFamily="18" charset="0"/>
                                        <a:ea typeface="+mn-ea"/>
                                        <a:cs typeface="+mn-cs"/>
                                      </a:rPr>
                                      <m:t>1</m:t>
                                    </m:r>
                                  </m:num>
                                  <m:den>
                                    <m:r>
                                      <a:rPr lang="en-US" altLang="zh-CN" sz="1100" b="0" i="1">
                                        <a:solidFill>
                                          <a:schemeClr val="tx1"/>
                                        </a:solidFill>
                                        <a:effectLst/>
                                        <a:latin typeface="Cambria Math" panose="02040503050406030204" pitchFamily="18" charset="0"/>
                                        <a:ea typeface="+mn-ea"/>
                                        <a:cs typeface="+mn-cs"/>
                                      </a:rPr>
                                      <m:t>6</m:t>
                                    </m:r>
                                  </m:den>
                                </m:f>
                              </m:e>
                            </m:d>
                            <m:r>
                              <a:rPr lang="en-US" altLang="zh-CN" sz="1100" b="0" i="1">
                                <a:solidFill>
                                  <a:schemeClr val="tx1"/>
                                </a:solidFill>
                                <a:effectLst/>
                                <a:latin typeface="Cambria Math" panose="02040503050406030204" pitchFamily="18" charset="0"/>
                                <a:ea typeface="+mn-ea"/>
                                <a:cs typeface="+mn-cs"/>
                              </a:rPr>
                              <m:t>𝐷𝑊</m:t>
                            </m:r>
                            <m:r>
                              <a:rPr lang="en-US" altLang="zh-CN" sz="1100" b="0" i="1">
                                <a:solidFill>
                                  <a:schemeClr val="tx1"/>
                                </a:solidFill>
                                <a:effectLst/>
                                <a:latin typeface="Cambria Math" panose="02040503050406030204" pitchFamily="18" charset="0"/>
                                <a:ea typeface="+mn-ea"/>
                                <a:cs typeface="+mn-cs"/>
                              </a:rPr>
                              <m:t>+</m:t>
                            </m:r>
                            <m:r>
                              <m:rPr>
                                <m:sty m:val="p"/>
                              </m:rPr>
                              <a:rPr lang="el-GR" altLang="zh-CN" sz="1100" b="0" i="0">
                                <a:solidFill>
                                  <a:schemeClr val="tx1"/>
                                </a:solidFill>
                                <a:effectLst/>
                                <a:latin typeface="Cambria Math" panose="02040503050406030204" pitchFamily="18" charset="0"/>
                                <a:ea typeface="+mn-ea"/>
                                <a:cs typeface="+mn-cs"/>
                              </a:rPr>
                              <m:t>Δ</m:t>
                            </m:r>
                            <m:r>
                              <m:rPr>
                                <m:sty m:val="p"/>
                              </m:rPr>
                              <a:rPr lang="en-US" altLang="zh-CN" sz="1100" b="0" i="0">
                                <a:solidFill>
                                  <a:schemeClr val="tx1"/>
                                </a:solidFill>
                                <a:effectLst/>
                                <a:latin typeface="Cambria Math" panose="02040503050406030204" pitchFamily="18" charset="0"/>
                                <a:ea typeface="+mn-ea"/>
                                <a:cs typeface="+mn-cs"/>
                              </a:rPr>
                              <m:t>W</m:t>
                            </m:r>
                            <m:r>
                              <a:rPr lang="en-US" altLang="zh-CN" sz="1100" b="0" i="0">
                                <a:solidFill>
                                  <a:schemeClr val="tx1"/>
                                </a:solidFill>
                                <a:effectLst/>
                                <a:latin typeface="Cambria Math" panose="02040503050406030204" pitchFamily="18" charset="0"/>
                                <a:ea typeface="+mn-ea"/>
                                <a:cs typeface="+mn-cs"/>
                              </a:rPr>
                              <m:t>′</m:t>
                            </m:r>
                            <m:r>
                              <a:rPr lang="en-US" altLang="zh-CN" sz="1100" b="0" i="1">
                                <a:solidFill>
                                  <a:schemeClr val="tx1"/>
                                </a:solidFill>
                                <a:effectLst/>
                                <a:latin typeface="Cambria Math" panose="02040503050406030204" pitchFamily="18" charset="0"/>
                                <a:ea typeface="+mn-ea"/>
                                <a:cs typeface="+mn-cs"/>
                              </a:rPr>
                              <m:t>+</m:t>
                            </m:r>
                            <m:r>
                              <a:rPr lang="en-US" altLang="zh-CN" sz="1100" b="0" i="1">
                                <a:solidFill>
                                  <a:schemeClr val="tx1"/>
                                </a:solidFill>
                                <a:effectLst/>
                                <a:latin typeface="Cambria Math" panose="02040503050406030204" pitchFamily="18" charset="0"/>
                                <a:ea typeface="+mn-ea"/>
                                <a:cs typeface="+mn-cs"/>
                              </a:rPr>
                              <m:t>𝑆𝑇</m:t>
                            </m:r>
                            <m:r>
                              <a:rPr lang="en-US" altLang="zh-CN" sz="1100" b="0" i="1">
                                <a:solidFill>
                                  <a:schemeClr val="tx1"/>
                                </a:solidFill>
                                <a:effectLst/>
                                <a:latin typeface="Cambria Math" panose="02040503050406030204" pitchFamily="18" charset="0"/>
                                <a:ea typeface="+mn-ea"/>
                                <a:cs typeface="+mn-cs"/>
                              </a:rPr>
                              <m:t>,</m:t>
                            </m:r>
                            <m:r>
                              <a:rPr lang="zh-CN" altLang="en-US" sz="1100" b="0" i="1">
                                <a:solidFill>
                                  <a:schemeClr val="tx1"/>
                                </a:solidFill>
                                <a:effectLst/>
                                <a:latin typeface="Cambria Math" panose="02040503050406030204" pitchFamily="18" charset="0"/>
                                <a:ea typeface="+mn-ea"/>
                                <a:cs typeface="+mn-cs"/>
                              </a:rPr>
                              <m:t>中分</m:t>
                            </m:r>
                            <m:r>
                              <a:rPr lang="en-US" altLang="zh-CN" sz="1100" b="0" i="1">
                                <a:solidFill>
                                  <a:schemeClr val="tx1"/>
                                </a:solidFill>
                                <a:effectLst/>
                                <a:latin typeface="Cambria Math" panose="02040503050406030204" pitchFamily="18" charset="0"/>
                                <a:ea typeface="+mn-ea"/>
                                <a:cs typeface="+mn-cs"/>
                              </a:rPr>
                              <m:t>6</m:t>
                            </m:r>
                            <m:r>
                              <a:rPr lang="zh-CN" altLang="en-US" sz="1100" b="0" i="1">
                                <a:solidFill>
                                  <a:schemeClr val="tx1"/>
                                </a:solidFill>
                                <a:effectLst/>
                                <a:latin typeface="Cambria Math" panose="02040503050406030204" pitchFamily="18" charset="0"/>
                                <a:ea typeface="+mn-ea"/>
                                <a:cs typeface="+mn-cs"/>
                              </a:rPr>
                              <m:t>扇</m:t>
                            </m:r>
                          </m:e>
                        </m:eqArr>
                      </m:e>
                    </m:d>
                  </m:oMath>
                </m:oMathPara>
              </a14:m>
              <a:endParaRPr lang="zh-CN" altLang="en-US" sz="1100" i="0"/>
            </a:p>
          </xdr:txBody>
        </xdr:sp>
      </mc:Choice>
      <mc:Fallback xmlns:r="http://schemas.openxmlformats.org/officeDocument/2006/relationships" xmlns="">
        <xdr:sp>
          <xdr:nvSpPr>
            <xdr:cNvPr id="10" name="TextBox 9"/>
            <xdr:cNvSpPr txBox="1"/>
          </xdr:nvSpPr>
          <xdr:spPr>
            <a:xfrm>
              <a:off x="2034540" y="23474045"/>
              <a:ext cx="3263265" cy="1451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X</a:t>
              </a:r>
              <a:r>
                <a:rPr lang="en-US" altLang="zh-CN" sz="1100" b="0">
                  <a:latin typeface="Cambria Math" panose="02040503050406030204"/>
                </a:rPr>
                <a:t>3</a:t>
              </a:r>
              <a:r>
                <a:rPr lang="en-US" altLang="zh-CN" sz="1100" b="0">
                  <a:latin typeface="Cambria Math" panose="02040503050406030204" pitchFamily="18" charset="0"/>
                </a:rPr>
                <a:t>_</a:t>
              </a:r>
              <a:r>
                <a:rPr lang="en-US" altLang="zh-CN" sz="1100" b="0">
                  <a:latin typeface="Cambria Math" panose="02040503050406030204"/>
                </a:rPr>
                <a:t>R</a:t>
              </a:r>
              <a:r>
                <a:rPr lang="en-US" altLang="zh-CN" sz="1100" b="0">
                  <a:latin typeface="Cambria Math" panose="02040503050406030204"/>
                </a:rPr>
                <a:t>0</a:t>
              </a:r>
              <a:r>
                <a:rPr lang="en-US" altLang="zh-CN" sz="1100">
                  <a:latin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DW</a:t>
              </a:r>
              <a:r>
                <a:rPr lang="en-US" altLang="zh-CN" sz="1100" b="0">
                  <a:latin typeface="Cambria Math" panose="02040503050406030204"/>
                  <a:ea typeface="Cambria Math" panose="02040503050406030204"/>
                </a:rPr>
                <a:t>+</a:t>
              </a:r>
              <a:r>
                <a:rPr lang="el-GR" altLang="zh-CN" sz="1100" b="0">
                  <a:latin typeface="Cambria Math" panose="02040503050406030204"/>
                  <a:ea typeface="Cambria Math" panose="02040503050406030204"/>
                </a:rPr>
                <a:t>Δ</a:t>
              </a:r>
              <a:r>
                <a:rPr lang="en-US" altLang="zh-CN" sz="1100" b="0">
                  <a:latin typeface="Cambria Math" panose="02040503050406030204"/>
                  <a:ea typeface="Cambria Math" panose="02040503050406030204"/>
                </a:rPr>
                <a:t>W</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,中分</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扇</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0</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5</a:t>
              </a:r>
              <a:r>
                <a:rPr lang="en-US" altLang="zh-CN" sz="1100" b="0">
                  <a:latin typeface="Cambria Math" panose="02040503050406030204" pitchFamily="18" charset="0"/>
                  <a:ea typeface="Cambria Math" panose="02040503050406030204"/>
                </a:rPr>
                <a:t>D</a:t>
              </a:r>
              <a:r>
                <a:rPr lang="en-US" altLang="zh-CN" sz="1100" b="0">
                  <a:latin typeface="Cambria Math" panose="02040503050406030204"/>
                  <a:ea typeface="Cambria Math" panose="02040503050406030204"/>
                </a:rPr>
                <a:t>W</a:t>
              </a:r>
              <a:r>
                <a:rPr lang="en-US" altLang="zh-CN" sz="1100" b="0">
                  <a:latin typeface="Cambria Math" panose="02040503050406030204"/>
                  <a:ea typeface="Cambria Math" panose="02040503050406030204"/>
                </a:rPr>
                <a:t>+</a:t>
              </a:r>
              <a:r>
                <a:rPr lang="el-GR" altLang="zh-CN" sz="1100" b="0">
                  <a:solidFill>
                    <a:schemeClr val="tx1"/>
                  </a:solidFill>
                  <a:effectLst/>
                  <a:latin typeface="Cambria Math" panose="02040503050406030204" pitchFamily="18" charset="0"/>
                  <a:ea typeface="+mn-ea"/>
                  <a:cs typeface="+mn-cs"/>
                </a:rPr>
                <a:t>Δ</a:t>
              </a:r>
              <a:r>
                <a:rPr lang="en-US" altLang="zh-CN" sz="1100" b="0">
                  <a:solidFill>
                    <a:schemeClr val="tx1"/>
                  </a:solidFill>
                  <a:effectLst/>
                  <a:latin typeface="Cambria Math" panose="02040503050406030204" pitchFamily="18" charset="0"/>
                  <a:ea typeface="+mn-ea"/>
                  <a:cs typeface="+mn-cs"/>
                </a:rPr>
                <a:t>W</a:t>
              </a:r>
              <a:r>
                <a:rPr lang="en-US" altLang="zh-CN" sz="1100" b="0">
                  <a:solidFill>
                    <a:schemeClr val="tx1"/>
                  </a:solidFill>
                  <a:effectLst/>
                  <a:latin typeface="Cambria Math" panose="02040503050406030204" pitchFamily="18" charset="0"/>
                  <a:ea typeface="+mn-ea"/>
                  <a:cs typeface="+mn-cs"/>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,旁开</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扇</a:t>
              </a:r>
              <a:r>
                <a:rPr lang="en-US" altLang="zh-CN" sz="1100" b="0">
                  <a:latin typeface="Cambria Math" panose="02040503050406030204" pitchFamily="18" charset="0"/>
                  <a:ea typeface="Cambria Math" panose="02040503050406030204"/>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2</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4</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DW</a:t>
              </a:r>
              <a:r>
                <a:rPr lang="en-US" altLang="zh-CN" sz="1100" b="0">
                  <a:solidFill>
                    <a:schemeClr val="tx1"/>
                  </a:solidFill>
                  <a:effectLst/>
                  <a:latin typeface="Cambria Math" panose="02040503050406030204" pitchFamily="18" charset="0"/>
                  <a:ea typeface="+mn-ea"/>
                  <a:cs typeface="+mn-cs"/>
                </a:rPr>
                <a:t>+</a:t>
              </a:r>
              <a:r>
                <a:rPr lang="el-GR" altLang="zh-CN" sz="1100" b="0">
                  <a:solidFill>
                    <a:schemeClr val="tx1"/>
                  </a:solidFill>
                  <a:effectLst/>
                  <a:latin typeface="Cambria Math" panose="02040503050406030204" pitchFamily="18" charset="0"/>
                  <a:ea typeface="+mn-ea"/>
                  <a:cs typeface="+mn-cs"/>
                </a:rPr>
                <a:t>Δ</a:t>
              </a:r>
              <a:r>
                <a:rPr lang="en-US" altLang="zh-CN" sz="1100" b="0">
                  <a:solidFill>
                    <a:schemeClr val="tx1"/>
                  </a:solidFill>
                  <a:effectLst/>
                  <a:latin typeface="Cambria Math" panose="02040503050406030204" pitchFamily="18" charset="0"/>
                  <a:ea typeface="+mn-ea"/>
                  <a:cs typeface="+mn-cs"/>
                </a:rPr>
                <a:t>W</a:t>
              </a:r>
              <a:r>
                <a:rPr lang="en-US" altLang="zh-CN" sz="1100" b="0">
                  <a:solidFill>
                    <a:schemeClr val="tx1"/>
                  </a:solidFill>
                  <a:effectLst/>
                  <a:latin typeface="Cambria Math" panose="02040503050406030204" pitchFamily="18" charset="0"/>
                  <a:ea typeface="+mn-ea"/>
                  <a:cs typeface="+mn-cs"/>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,中分</a:t>
              </a:r>
              <a:r>
                <a:rPr lang="en-US" altLang="zh-CN" sz="1100" b="0">
                  <a:latin typeface="Cambria Math" panose="02040503050406030204"/>
                  <a:ea typeface="Cambria Math" panose="02040503050406030204"/>
                </a:rPr>
                <a:t>4</a:t>
              </a:r>
              <a:r>
                <a:rPr lang="en-US" altLang="zh-CN" sz="1100" b="0">
                  <a:latin typeface="Cambria Math" panose="02040503050406030204"/>
                  <a:ea typeface="Cambria Math" panose="02040503050406030204"/>
                </a:rPr>
                <a:t>扇</a:t>
              </a:r>
              <a:r>
                <a:rPr lang="en-US" altLang="zh-CN" sz="1100" b="0">
                  <a:latin typeface="Cambria Math" panose="02040503050406030204" pitchFamily="18" charset="0"/>
                  <a:ea typeface="Cambria Math" panose="02040503050406030204"/>
                </a:rPr>
                <a:t>@</a:t>
              </a:r>
              <a:r>
                <a:rPr lang="en-US" altLang="zh-CN" sz="1100" b="0">
                  <a:solidFill>
                    <a:schemeClr val="tx1"/>
                  </a:solidFill>
                  <a:effectLst/>
                  <a:latin typeface="Cambria Math" panose="02040503050406030204" pitchFamily="18" charset="0"/>
                  <a:ea typeface="+mn-ea"/>
                  <a:cs typeface="+mn-cs"/>
                </a:rPr>
                <a:t>0</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5</a:t>
              </a:r>
              <a:r>
                <a:rPr lang="en-US" altLang="zh-CN" sz="1100" b="0">
                  <a:solidFill>
                    <a:schemeClr val="tx1"/>
                  </a:solidFill>
                  <a:effectLst/>
                  <a:latin typeface="Cambria Math" panose="02040503050406030204" pitchFamily="18" charset="0"/>
                  <a:ea typeface="+mn-ea"/>
                  <a:cs typeface="+mn-cs"/>
                </a:rPr>
                <a:t>DW</a:t>
              </a:r>
              <a:r>
                <a:rPr lang="en-US" altLang="zh-CN" sz="1100" b="0">
                  <a:solidFill>
                    <a:schemeClr val="tx1"/>
                  </a:solidFill>
                  <a:effectLst/>
                  <a:latin typeface="Cambria Math" panose="02040503050406030204" pitchFamily="18" charset="0"/>
                  <a:ea typeface="+mn-ea"/>
                  <a:cs typeface="+mn-cs"/>
                </a:rPr>
                <a:t>+</a:t>
              </a:r>
              <a:r>
                <a:rPr lang="el-GR" altLang="zh-CN" sz="1100" b="0">
                  <a:solidFill>
                    <a:schemeClr val="tx1"/>
                  </a:solidFill>
                  <a:effectLst/>
                  <a:latin typeface="Cambria Math" panose="02040503050406030204" pitchFamily="18" charset="0"/>
                  <a:ea typeface="+mn-ea"/>
                  <a:cs typeface="+mn-cs"/>
                </a:rPr>
                <a:t>Δ</a:t>
              </a:r>
              <a:r>
                <a:rPr lang="en-US" altLang="zh-CN" sz="1100" b="0">
                  <a:solidFill>
                    <a:schemeClr val="tx1"/>
                  </a:solidFill>
                  <a:effectLst/>
                  <a:latin typeface="Cambria Math" panose="02040503050406030204" pitchFamily="18" charset="0"/>
                  <a:ea typeface="+mn-ea"/>
                  <a:cs typeface="+mn-cs"/>
                </a:rPr>
                <a:t>W</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ST</a:t>
              </a:r>
              <a:r>
                <a:rPr lang="en-US" altLang="zh-CN" sz="1100" b="0">
                  <a:solidFill>
                    <a:schemeClr val="tx1"/>
                  </a:solidFill>
                  <a:effectLst/>
                  <a:latin typeface="Cambria Math" panose="02040503050406030204" pitchFamily="18" charset="0"/>
                  <a:ea typeface="+mn-ea"/>
                  <a:cs typeface="+mn-cs"/>
                </a:rPr>
                <a:t>,旁开</a:t>
              </a:r>
              <a:r>
                <a:rPr lang="en-US" altLang="zh-CN" sz="1100" b="0">
                  <a:solidFill>
                    <a:schemeClr val="tx1"/>
                  </a:solidFill>
                  <a:effectLst/>
                  <a:latin typeface="Cambria Math" panose="02040503050406030204" pitchFamily="18" charset="0"/>
                  <a:ea typeface="+mn-ea"/>
                  <a:cs typeface="+mn-cs"/>
                </a:rPr>
                <a:t>3</a:t>
              </a:r>
              <a:r>
                <a:rPr lang="en-US" altLang="zh-CN" sz="1100" b="0">
                  <a:solidFill>
                    <a:schemeClr val="tx1"/>
                  </a:solidFill>
                  <a:effectLst/>
                  <a:latin typeface="Cambria Math" panose="02040503050406030204" pitchFamily="18" charset="0"/>
                  <a:ea typeface="+mn-ea"/>
                  <a:cs typeface="+mn-cs"/>
                </a:rPr>
                <a:t>扇</a:t>
              </a:r>
              <a:r>
                <a:rPr lang="en-US" altLang="zh-CN" sz="1100" b="0">
                  <a:latin typeface="Cambria Math" panose="02040503050406030204" pitchFamily="18" charset="0"/>
                  <a:ea typeface="Cambria Math" panose="02040503050406030204"/>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2</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6</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𝐷𝑊</a:t>
              </a:r>
              <a:r>
                <a:rPr lang="en-US" altLang="zh-CN" sz="1100" b="0">
                  <a:solidFill>
                    <a:schemeClr val="tx1"/>
                  </a:solidFill>
                  <a:effectLst/>
                  <a:latin typeface="Cambria Math" panose="02040503050406030204" pitchFamily="18" charset="0"/>
                  <a:ea typeface="+mn-ea"/>
                  <a:cs typeface="+mn-cs"/>
                </a:rPr>
                <a:t>+</a:t>
              </a:r>
              <a:r>
                <a:rPr lang="el-GR" altLang="zh-CN" sz="1100" b="0">
                  <a:solidFill>
                    <a:schemeClr val="tx1"/>
                  </a:solidFill>
                  <a:effectLst/>
                  <a:latin typeface="Cambria Math" panose="02040503050406030204" pitchFamily="18" charset="0"/>
                  <a:ea typeface="+mn-ea"/>
                  <a:cs typeface="+mn-cs"/>
                </a:rPr>
                <a:t>Δ</a:t>
              </a:r>
              <a:r>
                <a:rPr lang="en-US" altLang="zh-CN" sz="1100" b="0">
                  <a:solidFill>
                    <a:schemeClr val="tx1"/>
                  </a:solidFill>
                  <a:effectLst/>
                  <a:latin typeface="Cambria Math" panose="02040503050406030204" pitchFamily="18" charset="0"/>
                  <a:ea typeface="+mn-ea"/>
                  <a:cs typeface="+mn-cs"/>
                </a:rPr>
                <a:t>W</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𝑆𝑇</a:t>
              </a:r>
              <a:r>
                <a:rPr lang="en-US" altLang="zh-CN" sz="1100" b="0">
                  <a:solidFill>
                    <a:schemeClr val="tx1"/>
                  </a:solidFill>
                  <a:effectLst/>
                  <a:latin typeface="Cambria Math" panose="02040503050406030204" pitchFamily="18" charset="0"/>
                  <a:ea typeface="+mn-ea"/>
                  <a:cs typeface="+mn-cs"/>
                </a:rPr>
                <a:t>,</a:t>
              </a:r>
              <a:r>
                <a:rPr lang="zh-CN" altLang="en-US" sz="1100" b="0">
                  <a:solidFill>
                    <a:schemeClr val="tx1"/>
                  </a:solidFill>
                  <a:effectLst/>
                  <a:latin typeface="Cambria Math" panose="02040503050406030204" pitchFamily="18" charset="0"/>
                  <a:ea typeface="+mn-ea"/>
                  <a:cs typeface="+mn-cs"/>
                </a:rPr>
                <a:t>中分</a:t>
              </a:r>
              <a:r>
                <a:rPr lang="en-US" altLang="zh-CN" sz="1100" b="0">
                  <a:solidFill>
                    <a:schemeClr val="tx1"/>
                  </a:solidFill>
                  <a:effectLst/>
                  <a:latin typeface="Cambria Math" panose="02040503050406030204" pitchFamily="18" charset="0"/>
                  <a:ea typeface="+mn-ea"/>
                  <a:cs typeface="+mn-cs"/>
                </a:rPr>
                <a:t>6</a:t>
              </a:r>
              <a:r>
                <a:rPr lang="zh-CN" altLang="en-US" sz="1100" b="0">
                  <a:solidFill>
                    <a:schemeClr val="tx1"/>
                  </a:solidFill>
                  <a:effectLst/>
                  <a:latin typeface="Cambria Math" panose="02040503050406030204" pitchFamily="18" charset="0"/>
                  <a:ea typeface="+mn-ea"/>
                  <a:cs typeface="+mn-cs"/>
                </a:rPr>
                <a:t>扇</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2084294</xdr:colOff>
      <xdr:row>70</xdr:row>
      <xdr:rowOff>0</xdr:rowOff>
    </xdr:from>
    <xdr:ext cx="3384177" cy="469937"/>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2084070" y="20080605"/>
              <a:ext cx="3383915"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X</m:t>
                        </m:r>
                        <m:r>
                          <a:rPr lang="en-US" altLang="zh-CN" sz="1100" b="0" i="0">
                            <a:latin typeface="Cambria Math" panose="02040503050406030204"/>
                          </a:rPr>
                          <m:t>2</m:t>
                        </m:r>
                      </m:e>
                      <m:sub>
                        <m:r>
                          <m:rPr>
                            <m:sty m:val="p"/>
                          </m:rPr>
                          <a:rPr lang="en-US" altLang="zh-CN" sz="1100" b="0" i="0">
                            <a:latin typeface="Cambria Math" panose="02040503050406030204"/>
                          </a:rPr>
                          <m:t>L</m:t>
                        </m:r>
                      </m:sub>
                    </m:sSub>
                    <m:r>
                      <a:rPr lang="en-US" altLang="zh-CN" sz="1100" i="0">
                        <a:latin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r>
                              <a:rPr lang="en-US" altLang="zh-CN" sz="1100" b="0" i="0">
                                <a:latin typeface="Cambria Math" panose="02040503050406030204" pitchFamily="18" charset="0"/>
                                <a:ea typeface="Cambria Math" panose="02040503050406030204"/>
                              </a:rPr>
                              <m:t>−</m:t>
                            </m:r>
                            <m:r>
                              <m:rPr>
                                <m:sty m:val="p"/>
                              </m:rPr>
                              <a:rPr lang="en-US" altLang="zh-CN" sz="1100" b="0" i="0">
                                <a:latin typeface="Cambria Math" panose="02040503050406030204"/>
                                <a:ea typeface="Cambria Math" panose="02040503050406030204"/>
                              </a:rPr>
                              <m:t>CWe</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CWG</m:t>
                            </m:r>
                            <m:r>
                              <a:rPr lang="en-US" altLang="zh-CN" sz="1100" b="0" i="0">
                                <a:latin typeface="Cambria Math" panose="02040503050406030204"/>
                                <a:ea typeface="Cambria Math" panose="02040503050406030204"/>
                              </a:rPr>
                              <m:t>/2−</m:t>
                            </m:r>
                            <m:sSub>
                              <m:sSubPr>
                                <m:ctrlPr>
                                  <a:rPr lang="en-US" altLang="zh-CN" sz="1100" b="0" i="1">
                                    <a:latin typeface="Cambria Math" panose="02040503050406030204" pitchFamily="18" charset="0"/>
                                    <a:ea typeface="Cambria Math" panose="02040503050406030204"/>
                                  </a:rPr>
                                </m:ctrlPr>
                              </m:sSubPr>
                              <m:e>
                                <m:r>
                                  <m:rPr>
                                    <m:sty m:val="p"/>
                                  </m:rPr>
                                  <a:rPr lang="en-US" altLang="zh-CN" sz="1100" b="0" i="0">
                                    <a:latin typeface="Cambria Math" panose="02040503050406030204"/>
                                    <a:ea typeface="Cambria Math" panose="02040503050406030204"/>
                                  </a:rPr>
                                  <m:t>CWGB</m:t>
                                </m:r>
                              </m:e>
                              <m:sub>
                                <m:r>
                                  <a:rPr lang="en-US" altLang="zh-CN" sz="1100" b="0" i="0">
                                    <a:latin typeface="Cambria Math" panose="02040503050406030204"/>
                                    <a:ea typeface="Cambria Math" panose="02040503050406030204"/>
                                  </a:rPr>
                                  <m:t>1</m:t>
                                </m:r>
                              </m:sub>
                            </m:sSub>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,对重后置</m:t>
                            </m:r>
                          </m:e>
                          <m:e>
                            <m:r>
                              <a:rPr lang="en-US" altLang="zh-CN" sz="1100" b="0" i="0">
                                <a:latin typeface="Cambria Math" panose="02040503050406030204"/>
                                <a:ea typeface="Cambria Math" panose="02040503050406030204"/>
                              </a:rPr>
                              <m:t>−,</m:t>
                            </m:r>
                            <m:r>
                              <a:rPr lang="zh-CN" altLang="en-US" sz="1100" b="0" i="0">
                                <a:latin typeface="Cambria Math" panose="02040503050406030204"/>
                                <a:ea typeface="Cambria Math" panose="02040503050406030204"/>
                              </a:rPr>
                              <m:t>对重侧置</m:t>
                            </m:r>
                          </m:e>
                        </m:eqArr>
                      </m:e>
                    </m:d>
                  </m:oMath>
                </m:oMathPara>
              </a14:m>
              <a:endParaRPr lang="zh-CN" altLang="en-US" sz="1100" i="0"/>
            </a:p>
          </xdr:txBody>
        </xdr:sp>
      </mc:Choice>
      <mc:Fallback xmlns:r="http://schemas.openxmlformats.org/officeDocument/2006/relationships" xmlns="">
        <xdr:sp>
          <xdr:nvSpPr>
            <xdr:cNvPr id="11" name="TextBox 10"/>
            <xdr:cNvSpPr txBox="1"/>
          </xdr:nvSpPr>
          <xdr:spPr>
            <a:xfrm>
              <a:off x="2084070" y="20080605"/>
              <a:ext cx="3383915"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X</a:t>
              </a:r>
              <a:r>
                <a:rPr lang="en-US" altLang="zh-CN" sz="1100" b="0">
                  <a:latin typeface="Cambria Math" panose="02040503050406030204"/>
                </a:rPr>
                <a:t>2</a:t>
              </a:r>
              <a:r>
                <a:rPr lang="en-US" altLang="zh-CN" sz="1100" b="0">
                  <a:latin typeface="Cambria Math" panose="02040503050406030204" pitchFamily="18" charset="0"/>
                </a:rPr>
                <a:t>_</a:t>
              </a:r>
              <a:r>
                <a:rPr lang="en-US" altLang="zh-CN" sz="1100" b="0">
                  <a:latin typeface="Cambria Math" panose="02040503050406030204"/>
                </a:rPr>
                <a:t>L</a:t>
              </a:r>
              <a:r>
                <a:rPr lang="en-US" altLang="zh-CN" sz="1100">
                  <a:latin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CWe</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CWG</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CWGB</a:t>
              </a:r>
              <a:r>
                <a:rPr lang="en-US" altLang="zh-CN" sz="1100" b="0">
                  <a:latin typeface="Cambria Math" panose="02040503050406030204" pitchFamily="18" charset="0"/>
                  <a:ea typeface="Cambria Math" panose="02040503050406030204"/>
                </a:rPr>
                <a:t>_</a:t>
              </a:r>
              <a:r>
                <a:rPr lang="en-US" altLang="zh-CN" sz="1100" b="0">
                  <a:latin typeface="Cambria Math" panose="02040503050406030204"/>
                  <a:ea typeface="Cambria Math" panose="02040503050406030204"/>
                </a:rPr>
                <a:t>1</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,对重后置</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zh-CN" altLang="en-US" sz="1100" b="0">
                  <a:latin typeface="Cambria Math" panose="02040503050406030204"/>
                  <a:ea typeface="Cambria Math" panose="02040503050406030204"/>
                </a:rPr>
                <a:t>对重侧置</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2057400</xdr:colOff>
      <xdr:row>71</xdr:row>
      <xdr:rowOff>6724</xdr:rowOff>
    </xdr:from>
    <xdr:ext cx="3420035" cy="469937"/>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2057400" y="20532725"/>
              <a:ext cx="3419475"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X</m:t>
                        </m:r>
                        <m:r>
                          <a:rPr lang="en-US" altLang="zh-CN" sz="1100" b="0" i="0">
                            <a:latin typeface="Cambria Math" panose="02040503050406030204"/>
                          </a:rPr>
                          <m:t>2</m:t>
                        </m:r>
                      </m:e>
                      <m:sub>
                        <m:r>
                          <m:rPr>
                            <m:sty m:val="p"/>
                          </m:rPr>
                          <a:rPr lang="en-US" altLang="zh-CN" sz="1100" b="0" i="0">
                            <a:latin typeface="Cambria Math" panose="02040503050406030204"/>
                          </a:rPr>
                          <m:t>R</m:t>
                        </m:r>
                      </m:sub>
                    </m:sSub>
                    <m:r>
                      <a:rPr lang="en-US" altLang="zh-CN" sz="1100" i="0">
                        <a:latin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r>
                              <a:rPr lang="en-US" altLang="zh-CN" sz="1100" b="0" i="0">
                                <a:latin typeface="Cambria Math" panose="02040503050406030204" pitchFamily="18" charset="0"/>
                                <a:ea typeface="Cambria Math" panose="02040503050406030204"/>
                              </a:rPr>
                              <m:t>−</m:t>
                            </m:r>
                            <m:r>
                              <m:rPr>
                                <m:sty m:val="p"/>
                              </m:rPr>
                              <a:rPr lang="en-US" altLang="zh-CN" sz="1100" b="0" i="0">
                                <a:latin typeface="Cambria Math" panose="02040503050406030204" pitchFamily="18" charset="0"/>
                                <a:ea typeface="Cambria Math" panose="02040503050406030204"/>
                              </a:rPr>
                              <m:t>CW</m:t>
                            </m:r>
                            <m:r>
                              <m:rPr>
                                <m:sty m:val="p"/>
                              </m:rPr>
                              <a:rPr lang="en-US" altLang="zh-CN" sz="1100" b="0" i="1">
                                <a:latin typeface="Cambria Math" panose="02040503050406030204" pitchFamily="18" charset="0"/>
                                <a:ea typeface="Cambria Math" panose="02040503050406030204"/>
                              </a:rPr>
                              <m:t>e</m:t>
                            </m:r>
                            <m:r>
                              <a:rPr lang="en-US" altLang="zh-CN" sz="1100" b="0" i="0">
                                <a:latin typeface="Cambria Math" panose="02040503050406030204" pitchFamily="18" charset="0"/>
                                <a:ea typeface="Cambria Math" panose="02040503050406030204"/>
                              </a:rPr>
                              <m:t>+</m:t>
                            </m:r>
                            <m:r>
                              <m:rPr>
                                <m:sty m:val="p"/>
                              </m:rPr>
                              <a:rPr lang="en-US" altLang="zh-CN" sz="1100" b="0" i="0">
                                <a:latin typeface="Cambria Math" panose="02040503050406030204"/>
                                <a:ea typeface="Cambria Math" panose="02040503050406030204"/>
                              </a:rPr>
                              <m:t>CWG</m:t>
                            </m:r>
                            <m:r>
                              <a:rPr lang="en-US" altLang="zh-CN" sz="1100" b="0" i="0">
                                <a:latin typeface="Cambria Math" panose="02040503050406030204"/>
                                <a:ea typeface="Cambria Math" panose="02040503050406030204"/>
                              </a:rPr>
                              <m:t>/2+</m:t>
                            </m:r>
                            <m:sSub>
                              <m:sSubPr>
                                <m:ctrlPr>
                                  <a:rPr lang="en-US" altLang="zh-CN" sz="1100" b="0" i="1">
                                    <a:latin typeface="Cambria Math" panose="02040503050406030204" pitchFamily="18" charset="0"/>
                                    <a:ea typeface="Cambria Math" panose="02040503050406030204"/>
                                  </a:rPr>
                                </m:ctrlPr>
                              </m:sSubPr>
                              <m:e>
                                <m:r>
                                  <m:rPr>
                                    <m:sty m:val="p"/>
                                  </m:rPr>
                                  <a:rPr lang="en-US" altLang="zh-CN" sz="1100" b="0" i="0">
                                    <a:latin typeface="Cambria Math" panose="02040503050406030204"/>
                                    <a:ea typeface="Cambria Math" panose="02040503050406030204"/>
                                  </a:rPr>
                                  <m:t>CWGB</m:t>
                                </m:r>
                              </m:e>
                              <m:sub>
                                <m:r>
                                  <a:rPr lang="en-US" altLang="zh-CN" sz="1100" b="0" i="0">
                                    <a:latin typeface="Cambria Math" panose="02040503050406030204"/>
                                    <a:ea typeface="Cambria Math" panose="02040503050406030204"/>
                                  </a:rPr>
                                  <m:t>1</m:t>
                                </m:r>
                              </m:sub>
                            </m:sSub>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,对重后置</m:t>
                            </m:r>
                          </m:e>
                          <m:e>
                            <m:r>
                              <a:rPr lang="en-US" altLang="zh-CN" sz="1100" b="0" i="0">
                                <a:latin typeface="Cambria Math" panose="02040503050406030204"/>
                                <a:ea typeface="Cambria Math" panose="02040503050406030204"/>
                              </a:rPr>
                              <m:t>−,</m:t>
                            </m:r>
                            <m:r>
                              <a:rPr lang="zh-CN" altLang="en-US" sz="1100" b="0" i="0">
                                <a:latin typeface="Cambria Math" panose="02040503050406030204"/>
                                <a:ea typeface="Cambria Math" panose="02040503050406030204"/>
                              </a:rPr>
                              <m:t>对重侧置</m:t>
                            </m:r>
                          </m:e>
                        </m:eqArr>
                      </m:e>
                    </m:d>
                  </m:oMath>
                </m:oMathPara>
              </a14:m>
              <a:endParaRPr lang="zh-CN" altLang="en-US" sz="1100" i="0"/>
            </a:p>
          </xdr:txBody>
        </xdr:sp>
      </mc:Choice>
      <mc:Fallback xmlns:r="http://schemas.openxmlformats.org/officeDocument/2006/relationships" xmlns="">
        <xdr:sp>
          <xdr:nvSpPr>
            <xdr:cNvPr id="13" name="TextBox 12"/>
            <xdr:cNvSpPr txBox="1"/>
          </xdr:nvSpPr>
          <xdr:spPr>
            <a:xfrm>
              <a:off x="2057400" y="20532725"/>
              <a:ext cx="3419475"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X</a:t>
              </a:r>
              <a:r>
                <a:rPr lang="en-US" altLang="zh-CN" sz="1100" b="0">
                  <a:latin typeface="Cambria Math" panose="02040503050406030204"/>
                </a:rPr>
                <a:t>2</a:t>
              </a:r>
              <a:r>
                <a:rPr lang="en-US" altLang="zh-CN" sz="1100" b="0">
                  <a:latin typeface="Cambria Math" panose="02040503050406030204" pitchFamily="18" charset="0"/>
                </a:rPr>
                <a:t>_</a:t>
              </a:r>
              <a:r>
                <a:rPr lang="en-US" altLang="zh-CN" sz="1100" b="0">
                  <a:latin typeface="Cambria Math" panose="02040503050406030204"/>
                </a:rPr>
                <a:t>R</a:t>
              </a:r>
              <a:r>
                <a:rPr lang="en-US" altLang="zh-CN" sz="1100">
                  <a:latin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CW</a:t>
              </a:r>
              <a:r>
                <a:rPr lang="en-US" altLang="zh-CN" sz="1100" b="0">
                  <a:latin typeface="Cambria Math" panose="02040503050406030204" pitchFamily="18" charset="0"/>
                  <a:ea typeface="Cambria Math" panose="02040503050406030204"/>
                </a:rPr>
                <a:t>e</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CWG</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CWGB</a:t>
              </a:r>
              <a:r>
                <a:rPr lang="en-US" altLang="zh-CN" sz="1100" b="0">
                  <a:latin typeface="Cambria Math" panose="02040503050406030204" pitchFamily="18" charset="0"/>
                  <a:ea typeface="Cambria Math" panose="02040503050406030204"/>
                </a:rPr>
                <a:t>_</a:t>
              </a:r>
              <a:r>
                <a:rPr lang="en-US" altLang="zh-CN" sz="1100" b="0">
                  <a:latin typeface="Cambria Math" panose="02040503050406030204"/>
                  <a:ea typeface="Cambria Math" panose="02040503050406030204"/>
                </a:rPr>
                <a:t>1</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,对重后置</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zh-CN" altLang="en-US" sz="1100" b="0">
                  <a:latin typeface="Cambria Math" panose="02040503050406030204"/>
                  <a:ea typeface="Cambria Math" panose="02040503050406030204"/>
                </a:rPr>
                <a:t>对重侧置</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2039470</xdr:colOff>
      <xdr:row>108</xdr:row>
      <xdr:rowOff>33619</xdr:rowOff>
    </xdr:from>
    <xdr:ext cx="3653118" cy="719108"/>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2038985" y="37548185"/>
              <a:ext cx="3653155" cy="719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Y</m:t>
                        </m:r>
                        <m:r>
                          <a:rPr lang="en-US" altLang="zh-CN" sz="1100" b="0" i="0">
                            <a:latin typeface="Cambria Math" panose="02040503050406030204"/>
                          </a:rPr>
                          <m:t>1</m:t>
                        </m:r>
                      </m:e>
                      <m:sub>
                        <m:r>
                          <m:rPr>
                            <m:sty m:val="p"/>
                          </m:rPr>
                          <a:rPr lang="en-US" altLang="zh-CN" sz="1100" b="0" i="0">
                            <a:latin typeface="Cambria Math" panose="02040503050406030204"/>
                          </a:rPr>
                          <m:t>B</m:t>
                        </m:r>
                      </m:sub>
                    </m:sSub>
                    <m:r>
                      <a:rPr lang="en-US" altLang="zh-CN" sz="1100" i="0">
                        <a:latin typeface="Cambria Math" panose="02040503050406030204"/>
                      </a:rPr>
                      <m:t>=</m:t>
                    </m:r>
                    <m:r>
                      <m:rPr>
                        <m:sty m:val="p"/>
                      </m:rPr>
                      <a:rPr lang="en-US" altLang="zh-CN" sz="1100" b="0" i="0">
                        <a:latin typeface="Cambria Math" panose="02040503050406030204"/>
                      </a:rPr>
                      <m:t>CD</m:t>
                    </m:r>
                    <m:r>
                      <a:rPr lang="en-US" altLang="zh-CN" sz="1100" b="0" i="0">
                        <a:latin typeface="Cambria Math" panose="02040503050406030204"/>
                      </a:rPr>
                      <m:t>−</m:t>
                    </m:r>
                    <m:r>
                      <m:rPr>
                        <m:sty m:val="p"/>
                      </m:rPr>
                      <a:rPr lang="en-US" altLang="zh-CN" sz="1100" b="0" i="0">
                        <a:latin typeface="Cambria Math" panose="02040503050406030204"/>
                      </a:rPr>
                      <m:t>KTV</m:t>
                    </m:r>
                    <m:r>
                      <a:rPr lang="en-US" altLang="zh-CN" sz="1100" b="0" i="0">
                        <a:latin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sSub>
                              <m:sSubPr>
                                <m:ctrlPr>
                                  <a:rPr lang="en-US" altLang="zh-CN" sz="1100" b="0" i="1">
                                    <a:latin typeface="Cambria Math" panose="02040503050406030204" pitchFamily="18" charset="0"/>
                                    <a:ea typeface="Cambria Math" panose="02040503050406030204"/>
                                  </a:rPr>
                                </m:ctrlPr>
                              </m:sSubPr>
                              <m:e>
                                <m:r>
                                  <m:rPr>
                                    <m:sty m:val="p"/>
                                  </m:rPr>
                                  <a:rPr lang="en-US" altLang="zh-CN" sz="1100" b="0" i="0">
                                    <a:latin typeface="Cambria Math" panose="02040503050406030204"/>
                                    <a:ea typeface="Cambria Math" panose="02040503050406030204"/>
                                  </a:rPr>
                                  <m:t>CSD</m:t>
                                </m:r>
                              </m:e>
                              <m:sub>
                                <m:r>
                                  <a:rPr lang="en-US" altLang="zh-CN" sz="1100" b="0" i="0">
                                    <a:latin typeface="Cambria Math" panose="02040503050406030204"/>
                                    <a:ea typeface="Cambria Math" panose="02040503050406030204"/>
                                  </a:rPr>
                                  <m:t>3</m:t>
                                </m:r>
                              </m:sub>
                            </m:sSub>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,对重后置</m:t>
                            </m:r>
                            <m:r>
                              <a:rPr lang="en-US" altLang="zh-CN" sz="1100" b="0" i="1">
                                <a:latin typeface="Cambria Math" panose="02040503050406030204" pitchFamily="18" charset="0"/>
                                <a:ea typeface="Cambria Math" panose="02040503050406030204"/>
                              </a:rPr>
                              <m:t>               </m:t>
                            </m:r>
                          </m:e>
                          <m:e>
                            <m:sSub>
                              <m:sSubPr>
                                <m:ctrlPr>
                                  <a:rPr lang="en-US" sz="1100" b="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CSD</m:t>
                                </m:r>
                              </m:e>
                              <m:sub>
                                <m:r>
                                  <a:rPr lang="en-US" sz="1100" b="0" i="0">
                                    <a:solidFill>
                                      <a:schemeClr val="tx1"/>
                                    </a:solidFill>
                                    <a:effectLst/>
                                    <a:latin typeface="Cambria Math" panose="02040503050406030204" pitchFamily="18" charset="0"/>
                                    <a:ea typeface="+mn-ea"/>
                                    <a:cs typeface="+mn-cs"/>
                                  </a:rPr>
                                  <m:t>4</m:t>
                                </m:r>
                              </m:sub>
                            </m:sSub>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,对重侧置非贯通门</m:t>
                            </m:r>
                          </m:e>
                          <m:e>
                            <m:r>
                              <m:rPr>
                                <m:sty m:val="p"/>
                              </m:rPr>
                              <a:rPr lang="en-US" altLang="zh-CN" sz="1100" b="0" i="0">
                                <a:latin typeface="Cambria Math" panose="02040503050406030204"/>
                                <a:ea typeface="Cambria Math" panose="02040503050406030204"/>
                              </a:rPr>
                              <m:t>DS</m:t>
                            </m:r>
                            <m:r>
                              <a:rPr lang="en-US" altLang="zh-CN" sz="1100" b="0" i="0">
                                <a:latin typeface="Cambria Math" panose="02040503050406030204"/>
                                <a:ea typeface="Cambria Math" panose="02040503050406030204"/>
                              </a:rPr>
                              <m:t>+30+</m:t>
                            </m:r>
                            <m:r>
                              <m:rPr>
                                <m:sty m:val="p"/>
                              </m:rPr>
                              <a:rPr lang="en-US" altLang="zh-CN" sz="1100" b="0" i="0">
                                <a:latin typeface="Cambria Math" panose="02040503050406030204"/>
                                <a:ea typeface="Cambria Math" panose="02040503050406030204"/>
                              </a:rPr>
                              <m:t>FD</m:t>
                            </m:r>
                            <m:r>
                              <a:rPr lang="en-US" altLang="zh-CN" sz="1100" b="0" i="0">
                                <a:latin typeface="Cambria Math" panose="02040503050406030204" pitchFamily="18" charset="0"/>
                                <a:ea typeface="Cambria Math" panose="02040503050406030204"/>
                              </a:rPr>
                              <m:t>+</m:t>
                            </m:r>
                            <m:r>
                              <m:rPr>
                                <m:sty m:val="p"/>
                              </m:rPr>
                              <a:rPr lang="en-US" altLang="zh-CN" sz="1100" b="0" i="0">
                                <a:latin typeface="Cambria Math" panose="02040503050406030204" pitchFamily="18" charset="0"/>
                                <a:ea typeface="Cambria Math" panose="02040503050406030204"/>
                              </a:rPr>
                              <m:t>ST</m:t>
                            </m:r>
                            <m:r>
                              <a:rPr lang="en-US" altLang="zh-CN" sz="1100" b="0" i="0">
                                <a:latin typeface="Cambria Math" panose="02040503050406030204"/>
                                <a:ea typeface="Cambria Math" panose="02040503050406030204"/>
                              </a:rPr>
                              <m:t>,贯通门</m:t>
                            </m:r>
                            <m:r>
                              <a:rPr lang="en-US" altLang="zh-CN" sz="1100" b="0" i="1">
                                <a:latin typeface="Cambria Math" panose="02040503050406030204" pitchFamily="18" charset="0"/>
                                <a:ea typeface="Cambria Math" panose="02040503050406030204"/>
                              </a:rPr>
                              <m:t>               </m:t>
                            </m:r>
                          </m:e>
                        </m:eqArr>
                      </m:e>
                    </m:d>
                  </m:oMath>
                </m:oMathPara>
              </a14:m>
              <a:endParaRPr lang="zh-CN" altLang="en-US" sz="1100" i="0"/>
            </a:p>
          </xdr:txBody>
        </xdr:sp>
      </mc:Choice>
      <mc:Fallback xmlns:r="http://schemas.openxmlformats.org/officeDocument/2006/relationships" xmlns="">
        <xdr:sp>
          <xdr:nvSpPr>
            <xdr:cNvPr id="12" name="TextBox 11"/>
            <xdr:cNvSpPr txBox="1"/>
          </xdr:nvSpPr>
          <xdr:spPr>
            <a:xfrm>
              <a:off x="2038985" y="37548185"/>
              <a:ext cx="3653155" cy="719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Y</a:t>
              </a:r>
              <a:r>
                <a:rPr lang="en-US" altLang="zh-CN" sz="1100" b="0">
                  <a:latin typeface="Cambria Math" panose="02040503050406030204"/>
                </a:rPr>
                <a:t>1</a:t>
              </a:r>
              <a:r>
                <a:rPr lang="en-US" altLang="zh-CN" sz="1100" b="0">
                  <a:latin typeface="Cambria Math" panose="02040503050406030204" pitchFamily="18" charset="0"/>
                </a:rPr>
                <a:t>_</a:t>
              </a:r>
              <a:r>
                <a:rPr lang="en-US" altLang="zh-CN" sz="1100" b="0">
                  <a:latin typeface="Cambria Math" panose="02040503050406030204"/>
                </a:rPr>
                <a:t>B</a:t>
              </a:r>
              <a:r>
                <a:rPr lang="en-US" altLang="zh-CN" sz="1100">
                  <a:latin typeface="Cambria Math" panose="02040503050406030204"/>
                </a:rPr>
                <a:t>=</a:t>
              </a:r>
              <a:r>
                <a:rPr lang="en-US" altLang="zh-CN" sz="1100" b="0">
                  <a:latin typeface="Cambria Math" panose="02040503050406030204"/>
                </a:rPr>
                <a:t>CD</a:t>
              </a:r>
              <a:r>
                <a:rPr lang="en-US" altLang="zh-CN" sz="1100" b="0">
                  <a:latin typeface="Cambria Math" panose="02040503050406030204"/>
                </a:rPr>
                <a:t>−</a:t>
              </a:r>
              <a:r>
                <a:rPr lang="en-US" altLang="zh-CN" sz="1100" b="0">
                  <a:latin typeface="Cambria Math" panose="02040503050406030204"/>
                </a:rPr>
                <a:t>KTV</a:t>
              </a:r>
              <a:r>
                <a:rPr lang="en-US" altLang="zh-CN" sz="1100" b="0">
                  <a:latin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CSD</a:t>
              </a:r>
              <a:r>
                <a:rPr lang="en-US" altLang="zh-CN" sz="1100" b="0">
                  <a:latin typeface="Cambria Math" panose="02040503050406030204" pitchFamily="18" charset="0"/>
                  <a:ea typeface="Cambria Math" panose="02040503050406030204"/>
                </a:rPr>
                <a:t>_</a:t>
              </a:r>
              <a:r>
                <a:rPr lang="en-US" altLang="zh-CN" sz="1100" b="0">
                  <a:latin typeface="Cambria Math" panose="02040503050406030204"/>
                  <a:ea typeface="Cambria Math" panose="02040503050406030204"/>
                </a:rPr>
                <a:t>3</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,对重后置</a:t>
              </a:r>
              <a:r>
                <a:rPr lang="en-US" altLang="zh-CN" sz="1100" b="0">
                  <a:latin typeface="Cambria Math" panose="02040503050406030204" pitchFamily="18" charset="0"/>
                  <a:ea typeface="Cambria Math" panose="02040503050406030204"/>
                </a:rPr>
                <a:t>               </a:t>
              </a:r>
              <a:r>
                <a:rPr lang="en-US" altLang="zh-CN" sz="1100" b="0">
                  <a:latin typeface="Cambria Math" panose="02040503050406030204" pitchFamily="18" charset="0"/>
                  <a:ea typeface="Cambria Math" panose="02040503050406030204"/>
                </a:rPr>
                <a:t>@</a:t>
              </a:r>
              <a:r>
                <a:rPr lang="en-US" sz="1100" b="0">
                  <a:solidFill>
                    <a:schemeClr val="tx1"/>
                  </a:solidFill>
                  <a:effectLst/>
                  <a:latin typeface="Cambria Math" panose="02040503050406030204" pitchFamily="18" charset="0"/>
                  <a:ea typeface="+mn-ea"/>
                  <a:cs typeface="+mn-cs"/>
                </a:rPr>
                <a:t>CSD</a:t>
              </a:r>
              <a:r>
                <a:rPr lang="en-US" sz="1100" b="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4</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,对重侧置非贯通门</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DS</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30</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FD</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ST</a:t>
              </a:r>
              <a:r>
                <a:rPr lang="en-US" altLang="zh-CN" sz="1100" b="0">
                  <a:latin typeface="Cambria Math" panose="02040503050406030204"/>
                  <a:ea typeface="Cambria Math" panose="02040503050406030204"/>
                </a:rPr>
                <a:t>,贯通门</a:t>
              </a:r>
              <a:r>
                <a:rPr lang="en-US" altLang="zh-CN" sz="1100" b="0">
                  <a:latin typeface="Cambria Math" panose="02040503050406030204" pitchFamily="18" charset="0"/>
                  <a:ea typeface="Cambria Math" panose="02040503050406030204"/>
                </a:rPr>
                <a:t>               </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2050678</xdr:colOff>
      <xdr:row>106</xdr:row>
      <xdr:rowOff>224118</xdr:rowOff>
    </xdr:from>
    <xdr:ext cx="3020205" cy="264560"/>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050415" y="37251005"/>
              <a:ext cx="3020060" cy="2647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Y</m:t>
                        </m:r>
                        <m:r>
                          <a:rPr lang="en-US" altLang="zh-CN" sz="1100" b="0" i="0">
                            <a:latin typeface="Cambria Math" panose="02040503050406030204"/>
                          </a:rPr>
                          <m:t>1</m:t>
                        </m:r>
                      </m:e>
                      <m:sub>
                        <m:r>
                          <m:rPr>
                            <m:sty m:val="p"/>
                          </m:rPr>
                          <a:rPr lang="en-US" altLang="zh-CN" sz="1100" b="0" i="0">
                            <a:latin typeface="Cambria Math" panose="02040503050406030204"/>
                          </a:rPr>
                          <m:t>F</m:t>
                        </m:r>
                      </m:sub>
                    </m:sSub>
                    <m:r>
                      <a:rPr lang="en-US" altLang="zh-CN" sz="1100" i="0">
                        <a:latin typeface="Cambria Math" panose="02040503050406030204"/>
                      </a:rPr>
                      <m:t>=</m:t>
                    </m:r>
                    <m:r>
                      <a:rPr lang="en-US" altLang="zh-CN" sz="1100" b="0" i="0">
                        <a:latin typeface="Cambria Math" panose="02040503050406030204"/>
                      </a:rPr>
                      <m:t>−</m:t>
                    </m:r>
                    <m:r>
                      <m:rPr>
                        <m:sty m:val="p"/>
                      </m:rPr>
                      <a:rPr lang="en-US" altLang="zh-CN" sz="1100" b="0" i="0">
                        <a:latin typeface="Cambria Math" panose="02040503050406030204"/>
                      </a:rPr>
                      <m:t>KTV</m:t>
                    </m:r>
                    <m:r>
                      <a:rPr lang="en-US" altLang="zh-CN" sz="1100" b="0" i="0">
                        <a:latin typeface="Cambria Math" panose="02040503050406030204"/>
                      </a:rPr>
                      <m:t>−</m:t>
                    </m:r>
                    <m:r>
                      <m:rPr>
                        <m:sty m:val="p"/>
                      </m:rPr>
                      <a:rPr lang="en-US" altLang="zh-CN" sz="1100" b="0" i="0">
                        <a:latin typeface="Cambria Math" panose="02040503050406030204"/>
                      </a:rPr>
                      <m:t>DS</m:t>
                    </m:r>
                    <m:r>
                      <a:rPr lang="en-US" altLang="zh-CN" sz="1100" b="0" i="0">
                        <a:latin typeface="Cambria Math" panose="02040503050406030204"/>
                      </a:rPr>
                      <m:t>−30−</m:t>
                    </m:r>
                    <m:r>
                      <m:rPr>
                        <m:sty m:val="p"/>
                      </m:rPr>
                      <a:rPr lang="en-US" altLang="zh-CN" sz="1100" b="0" i="0">
                        <a:latin typeface="Cambria Math" panose="02040503050406030204"/>
                      </a:rPr>
                      <m:t>FD</m:t>
                    </m:r>
                    <m:r>
                      <a:rPr lang="en-US" altLang="zh-CN" sz="1100" b="0" i="0">
                        <a:latin typeface="Cambria Math" panose="02040503050406030204" pitchFamily="18" charset="0"/>
                      </a:rPr>
                      <m:t> −</m:t>
                    </m:r>
                    <m:r>
                      <m:rPr>
                        <m:sty m:val="p"/>
                      </m:rPr>
                      <a:rPr lang="en-US" altLang="zh-CN" sz="1100" b="0" i="0">
                        <a:latin typeface="Cambria Math" panose="02040503050406030204" pitchFamily="18" charset="0"/>
                      </a:rPr>
                      <m:t>ST</m:t>
                    </m:r>
                  </m:oMath>
                </m:oMathPara>
              </a14:m>
              <a:endParaRPr lang="zh-CN" altLang="en-US" sz="1100" i="0"/>
            </a:p>
          </xdr:txBody>
        </xdr:sp>
      </mc:Choice>
      <mc:Fallback xmlns:r="http://schemas.openxmlformats.org/officeDocument/2006/relationships" xmlns="">
        <xdr:sp>
          <xdr:nvSpPr>
            <xdr:cNvPr id="14" name="TextBox 13"/>
            <xdr:cNvSpPr txBox="1"/>
          </xdr:nvSpPr>
          <xdr:spPr>
            <a:xfrm>
              <a:off x="2050415" y="37251005"/>
              <a:ext cx="3020060" cy="2647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Y</a:t>
              </a:r>
              <a:r>
                <a:rPr lang="en-US" altLang="zh-CN" sz="1100" b="0">
                  <a:latin typeface="Cambria Math" panose="02040503050406030204"/>
                </a:rPr>
                <a:t>1</a:t>
              </a:r>
              <a:r>
                <a:rPr lang="en-US" altLang="zh-CN" sz="1100" b="0">
                  <a:latin typeface="Cambria Math" panose="02040503050406030204" pitchFamily="18" charset="0"/>
                </a:rPr>
                <a:t>_</a:t>
              </a:r>
              <a:r>
                <a:rPr lang="en-US" altLang="zh-CN" sz="1100" b="0">
                  <a:latin typeface="Cambria Math" panose="02040503050406030204"/>
                </a:rPr>
                <a:t>F</a:t>
              </a:r>
              <a:r>
                <a:rPr lang="en-US" altLang="zh-CN" sz="1100">
                  <a:latin typeface="Cambria Math" panose="02040503050406030204"/>
                </a:rPr>
                <a:t>=</a:t>
              </a:r>
              <a:r>
                <a:rPr lang="en-US" altLang="zh-CN" sz="1100" b="0">
                  <a:latin typeface="Cambria Math" panose="02040503050406030204"/>
                </a:rPr>
                <a:t>−</a:t>
              </a:r>
              <a:r>
                <a:rPr lang="en-US" altLang="zh-CN" sz="1100" b="0">
                  <a:latin typeface="Cambria Math" panose="02040503050406030204"/>
                </a:rPr>
                <a:t>KTV</a:t>
              </a:r>
              <a:r>
                <a:rPr lang="en-US" altLang="zh-CN" sz="1100" b="0">
                  <a:latin typeface="Cambria Math" panose="02040503050406030204"/>
                </a:rPr>
                <a:t>−</a:t>
              </a:r>
              <a:r>
                <a:rPr lang="en-US" altLang="zh-CN" sz="1100" b="0">
                  <a:latin typeface="Cambria Math" panose="02040503050406030204"/>
                </a:rPr>
                <a:t>DS</a:t>
              </a:r>
              <a:r>
                <a:rPr lang="en-US" altLang="zh-CN" sz="1100" b="0">
                  <a:latin typeface="Cambria Math" panose="02040503050406030204"/>
                </a:rPr>
                <a:t>−</a:t>
              </a:r>
              <a:r>
                <a:rPr lang="en-US" altLang="zh-CN" sz="1100" b="0">
                  <a:latin typeface="Cambria Math" panose="02040503050406030204"/>
                </a:rPr>
                <a:t>30</a:t>
              </a:r>
              <a:r>
                <a:rPr lang="en-US" altLang="zh-CN" sz="1100" b="0">
                  <a:latin typeface="Cambria Math" panose="02040503050406030204"/>
                </a:rPr>
                <a:t>−</a:t>
              </a:r>
              <a:r>
                <a:rPr lang="en-US" altLang="zh-CN" sz="1100" b="0">
                  <a:latin typeface="Cambria Math" panose="02040503050406030204"/>
                </a:rPr>
                <a:t>FD</a:t>
              </a:r>
              <a:r>
                <a:rPr lang="en-US" altLang="zh-CN" sz="1100" b="0">
                  <a:latin typeface="Cambria Math" panose="02040503050406030204" pitchFamily="18" charset="0"/>
                </a:rPr>
                <a:t> −</a:t>
              </a:r>
              <a:r>
                <a:rPr lang="en-US" altLang="zh-CN" sz="1100" b="0">
                  <a:latin typeface="Cambria Math" panose="02040503050406030204" pitchFamily="18" charset="0"/>
                </a:rPr>
                <a:t>ST</a:t>
              </a:r>
              <a:endParaRPr lang="zh-CN" altLang="en-US" sz="1100" i="0"/>
            </a:p>
          </xdr:txBody>
        </xdr:sp>
      </mc:Fallback>
    </mc:AlternateContent>
    <xdr:clientData/>
  </xdr:oneCellAnchor>
  <xdr:oneCellAnchor>
    <xdr:from>
      <xdr:col>0</xdr:col>
      <xdr:colOff>2050678</xdr:colOff>
      <xdr:row>122</xdr:row>
      <xdr:rowOff>44843</xdr:rowOff>
    </xdr:from>
    <xdr:ext cx="3417793" cy="632737"/>
    <mc:AlternateContent xmlns:mc="http://schemas.openxmlformats.org/markup-compatibility/2006" xmlns:a14="http://schemas.microsoft.com/office/drawing/2010/main">
      <mc:Choice Requires="a14">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2050415" y="44309030"/>
              <a:ext cx="3417570" cy="633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Y</m:t>
                        </m:r>
                        <m:r>
                          <a:rPr lang="en-US" altLang="zh-CN" sz="1100" b="0" i="0">
                            <a:latin typeface="Cambria Math" panose="02040503050406030204"/>
                          </a:rPr>
                          <m:t>3</m:t>
                        </m:r>
                      </m:e>
                      <m:sub>
                        <m:r>
                          <m:rPr>
                            <m:sty m:val="p"/>
                          </m:rPr>
                          <a:rPr lang="en-US" altLang="zh-CN" sz="1100" b="0" i="0">
                            <a:latin typeface="Cambria Math" panose="02040503050406030204"/>
                          </a:rPr>
                          <m:t>F</m:t>
                        </m:r>
                      </m:sub>
                    </m:sSub>
                    <m:r>
                      <a:rPr lang="en-US" altLang="zh-CN" sz="1100" i="0">
                        <a:latin typeface="Cambria Math" panose="02040503050406030204"/>
                      </a:rPr>
                      <m:t>=</m:t>
                    </m:r>
                    <m:d>
                      <m:dPr>
                        <m:begChr m:val="{"/>
                        <m:endChr m:val=""/>
                        <m:ctrlPr>
                          <a:rPr lang="en-US" altLang="zh-CN" sz="1100" i="1">
                            <a:latin typeface="Cambria Math" panose="02040503050406030204" pitchFamily="18" charset="0"/>
                          </a:rPr>
                        </m:ctrlPr>
                      </m:dPr>
                      <m:e>
                        <m:eqArr>
                          <m:eqArrPr>
                            <m:ctrlPr>
                              <a:rPr lang="en-US" altLang="zh-CN" sz="1100" i="1">
                                <a:latin typeface="Cambria Math" panose="02040503050406030204" pitchFamily="18" charset="0"/>
                              </a:rPr>
                            </m:ctrlPr>
                          </m:eqArrPr>
                          <m:e>
                            <m:r>
                              <a:rPr lang="zh-CN" altLang="en-US" sz="1100" i="0">
                                <a:latin typeface="Cambria Math" panose="02040503050406030204"/>
                              </a:rPr>
                              <m:t>无机房</m:t>
                            </m:r>
                            <m:r>
                              <a:rPr lang="en-US" altLang="zh-CN" sz="1100" b="0" i="0">
                                <a:latin typeface="Cambria Math" panose="02040503050406030204"/>
                              </a:rPr>
                              <m:t>:</m:t>
                            </m:r>
                            <m:d>
                              <m:dPr>
                                <m:begChr m:val="{"/>
                                <m:endChr m:val=""/>
                                <m:ctrlPr>
                                  <a:rPr lang="en-US" altLang="zh-CN" sz="1100" i="1">
                                    <a:latin typeface="Cambria Math" panose="02040503050406030204" pitchFamily="18" charset="0"/>
                                  </a:rPr>
                                </m:ctrlPr>
                              </m:dPr>
                              <m:e>
                                <m:eqArr>
                                  <m:eqArrPr>
                                    <m:ctrlPr>
                                      <a:rPr lang="en-US" altLang="zh-CN" sz="1100" i="1">
                                        <a:latin typeface="Cambria Math" panose="02040503050406030204" pitchFamily="18" charset="0"/>
                                      </a:rPr>
                                    </m:ctrlPr>
                                  </m:eqArrPr>
                                  <m:e>
                                    <m:r>
                                      <a:rPr lang="en-US" altLang="zh-CN" sz="1100" b="0" i="0">
                                        <a:latin typeface="Cambria Math" panose="02040503050406030204"/>
                                      </a:rPr>
                                      <m:t>−,</m:t>
                                    </m:r>
                                    <m:r>
                                      <a:rPr lang="zh-CN" altLang="en-US" sz="1100" b="0" i="0">
                                        <a:latin typeface="Cambria Math" panose="02040503050406030204"/>
                                      </a:rPr>
                                      <m:t>靠后放置</m:t>
                                    </m:r>
                                  </m:e>
                                  <m:e>
                                    <m:r>
                                      <a:rPr lang="en-US" altLang="zh-CN" sz="1100" b="0" i="0">
                                        <a:latin typeface="Cambria Math" panose="02040503050406030204"/>
                                      </a:rPr>
                                      <m:t>−</m:t>
                                    </m:r>
                                    <m:r>
                                      <m:rPr>
                                        <m:sty m:val="p"/>
                                      </m:rPr>
                                      <a:rPr lang="en-US" altLang="zh-CN" sz="1100" b="0" i="0">
                                        <a:latin typeface="Cambria Math" panose="02040503050406030204"/>
                                      </a:rPr>
                                      <m:t>MRD</m:t>
                                    </m:r>
                                    <m:r>
                                      <a:rPr lang="en-US" altLang="zh-CN" sz="1100" b="0" i="0">
                                        <a:latin typeface="Cambria Math" panose="02040503050406030204"/>
                                      </a:rPr>
                                      <m:t>−</m:t>
                                    </m:r>
                                    <m:r>
                                      <m:rPr>
                                        <m:sty m:val="p"/>
                                      </m:rPr>
                                      <a:rPr lang="en-US" altLang="zh-CN" sz="1100" b="0" i="0">
                                        <a:latin typeface="Cambria Math" panose="02040503050406030204"/>
                                      </a:rPr>
                                      <m:t>ST</m:t>
                                    </m:r>
                                    <m:r>
                                      <a:rPr lang="en-US" altLang="zh-CN" sz="1100" b="0" i="0">
                                        <a:latin typeface="Cambria Math" panose="02040503050406030204"/>
                                      </a:rPr>
                                      <m:t>,</m:t>
                                    </m:r>
                                    <m:r>
                                      <a:rPr lang="zh-CN" altLang="en-US" sz="1100" i="0">
                                        <a:latin typeface="Cambria Math" panose="02040503050406030204"/>
                                      </a:rPr>
                                      <m:t>靠前放置</m:t>
                                    </m:r>
                                  </m:e>
                                </m:eqArr>
                              </m:e>
                            </m:d>
                          </m:e>
                          <m:e>
                            <m:r>
                              <a:rPr lang="zh-CN" altLang="en-US" sz="1100" i="0">
                                <a:latin typeface="Cambria Math" panose="02040503050406030204"/>
                              </a:rPr>
                              <m:t>有机房</m:t>
                            </m:r>
                            <m:r>
                              <a:rPr lang="en-US" altLang="zh-CN" sz="1100" b="0" i="0">
                                <a:latin typeface="Cambria Math" panose="02040503050406030204"/>
                              </a:rPr>
                              <m:t>:−</m:t>
                            </m:r>
                          </m:e>
                        </m:eqArr>
                      </m:e>
                    </m:d>
                  </m:oMath>
                </m:oMathPara>
              </a14:m>
              <a:endParaRPr lang="zh-CN" altLang="en-US" sz="1100" i="0"/>
            </a:p>
          </xdr:txBody>
        </xdr:sp>
      </mc:Choice>
      <mc:Fallback xmlns:r="http://schemas.openxmlformats.org/officeDocument/2006/relationships" xmlns="">
        <xdr:sp>
          <xdr:nvSpPr>
            <xdr:cNvPr id="20" name="TextBox 19"/>
            <xdr:cNvSpPr txBox="1"/>
          </xdr:nvSpPr>
          <xdr:spPr>
            <a:xfrm>
              <a:off x="2050415" y="44309030"/>
              <a:ext cx="3417570" cy="633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Y</a:t>
              </a:r>
              <a:r>
                <a:rPr lang="en-US" altLang="zh-CN" sz="1100" b="0">
                  <a:latin typeface="Cambria Math" panose="02040503050406030204"/>
                </a:rPr>
                <a:t>3</a:t>
              </a:r>
              <a:r>
                <a:rPr lang="en-US" altLang="zh-CN" sz="1100" b="0">
                  <a:latin typeface="Cambria Math" panose="02040503050406030204" pitchFamily="18" charset="0"/>
                </a:rPr>
                <a:t>_</a:t>
              </a:r>
              <a:r>
                <a:rPr lang="en-US" altLang="zh-CN" sz="1100" b="0">
                  <a:latin typeface="Cambria Math" panose="02040503050406030204"/>
                </a:rPr>
                <a:t>F</a:t>
              </a:r>
              <a:r>
                <a:rPr lang="en-US" altLang="zh-CN" sz="1100">
                  <a:latin typeface="Cambria Math" panose="02040503050406030204"/>
                </a:rPr>
                <a:t>=</a:t>
              </a:r>
              <a:r>
                <a:rPr lang="en-US" altLang="zh-CN" sz="1100">
                  <a:latin typeface="Cambria Math" panose="02040503050406030204" pitchFamily="18" charset="0"/>
                </a:rPr>
                <a:t>{</a:t>
              </a:r>
              <a:r>
                <a:rPr lang="en-US" altLang="zh-CN" sz="1100">
                  <a:latin typeface="Cambria Math" panose="02040503050406030204" pitchFamily="18" charset="0"/>
                </a:rPr>
                <a:t>█(</a:t>
              </a:r>
              <a:r>
                <a:rPr lang="zh-CN" altLang="en-US" sz="1100">
                  <a:latin typeface="Cambria Math" panose="02040503050406030204"/>
                </a:rPr>
                <a:t>无机房</a:t>
              </a:r>
              <a:r>
                <a:rPr lang="en-US" altLang="zh-CN" sz="1100" b="0">
                  <a:latin typeface="Cambria Math" panose="02040503050406030204"/>
                </a:rPr>
                <a:t>:</a:t>
              </a:r>
              <a:r>
                <a:rPr lang="en-US" altLang="zh-CN" sz="1100">
                  <a:latin typeface="Cambria Math" panose="02040503050406030204" pitchFamily="18" charset="0"/>
                </a:rPr>
                <a:t>{</a:t>
              </a:r>
              <a:r>
                <a:rPr lang="en-US" altLang="zh-CN" sz="1100">
                  <a:latin typeface="Cambria Math" panose="02040503050406030204" pitchFamily="18" charset="0"/>
                </a:rPr>
                <a:t>█(</a:t>
              </a:r>
              <a:r>
                <a:rPr lang="en-US" altLang="zh-CN" sz="1100" b="0">
                  <a:latin typeface="Cambria Math" panose="02040503050406030204"/>
                </a:rPr>
                <a:t>−,</a:t>
              </a:r>
              <a:r>
                <a:rPr lang="zh-CN" altLang="en-US" sz="1100" b="0">
                  <a:latin typeface="Cambria Math" panose="02040503050406030204"/>
                </a:rPr>
                <a:t>靠后放置</a:t>
              </a:r>
              <a:r>
                <a:rPr lang="en-US" altLang="zh-CN" sz="1100">
                  <a:latin typeface="Cambria Math" panose="02040503050406030204" pitchFamily="18" charset="0"/>
                </a:rPr>
                <a:t>@</a:t>
              </a:r>
              <a:r>
                <a:rPr lang="en-US" altLang="zh-CN" sz="1100" b="0">
                  <a:latin typeface="Cambria Math" panose="02040503050406030204"/>
                </a:rPr>
                <a:t>−</a:t>
              </a:r>
              <a:r>
                <a:rPr lang="en-US" altLang="zh-CN" sz="1100" b="0">
                  <a:latin typeface="Cambria Math" panose="02040503050406030204"/>
                </a:rPr>
                <a:t>MRD</a:t>
              </a:r>
              <a:r>
                <a:rPr lang="en-US" altLang="zh-CN" sz="1100" b="0">
                  <a:latin typeface="Cambria Math" panose="02040503050406030204"/>
                </a:rPr>
                <a:t>−</a:t>
              </a:r>
              <a:r>
                <a:rPr lang="en-US" altLang="zh-CN" sz="1100" b="0">
                  <a:latin typeface="Cambria Math" panose="02040503050406030204"/>
                </a:rPr>
                <a:t>ST</a:t>
              </a:r>
              <a:r>
                <a:rPr lang="en-US" altLang="zh-CN" sz="1100" b="0">
                  <a:latin typeface="Cambria Math" panose="02040503050406030204"/>
                </a:rPr>
                <a:t>,</a:t>
              </a:r>
              <a:r>
                <a:rPr lang="zh-CN" altLang="en-US" sz="1100">
                  <a:latin typeface="Cambria Math" panose="02040503050406030204"/>
                </a:rPr>
                <a:t>靠前放置</a:t>
              </a:r>
              <a:r>
                <a:rPr lang="en-US" altLang="zh-CN" sz="1100">
                  <a:latin typeface="Cambria Math" panose="02040503050406030204" pitchFamily="18" charset="0"/>
                </a:rPr>
                <a:t>)</a:t>
              </a:r>
              <a:r>
                <a:rPr lang="en-US" altLang="zh-CN" sz="1100">
                  <a:latin typeface="Cambria Math" panose="02040503050406030204" pitchFamily="18" charset="0"/>
                </a:rPr>
                <a:t>┤</a:t>
              </a:r>
              <a:r>
                <a:rPr lang="en-US" altLang="zh-CN" sz="1100">
                  <a:latin typeface="Cambria Math" panose="02040503050406030204" pitchFamily="18" charset="0"/>
                </a:rPr>
                <a:t>@</a:t>
              </a:r>
              <a:r>
                <a:rPr lang="zh-CN" altLang="en-US" sz="1100">
                  <a:latin typeface="Cambria Math" panose="02040503050406030204"/>
                </a:rPr>
                <a:t>有机房</a:t>
              </a:r>
              <a:r>
                <a:rPr lang="en-US" altLang="zh-CN" sz="1100" b="0">
                  <a:latin typeface="Cambria Math" panose="02040503050406030204"/>
                </a:rPr>
                <a:t>:−</a:t>
              </a:r>
              <a:r>
                <a:rPr lang="en-US" altLang="zh-CN" sz="1100">
                  <a:latin typeface="Cambria Math" panose="02040503050406030204" pitchFamily="18" charset="0"/>
                </a:rPr>
                <a:t>)</a:t>
              </a:r>
              <a:r>
                <a:rPr lang="en-US" altLang="zh-CN" sz="1100">
                  <a:latin typeface="Cambria Math" panose="02040503050406030204" pitchFamily="18" charset="0"/>
                </a:rPr>
                <a:t>┤</a:t>
              </a:r>
              <a:endParaRPr lang="zh-CN" altLang="en-US" sz="1100" i="0"/>
            </a:p>
          </xdr:txBody>
        </xdr:sp>
      </mc:Fallback>
    </mc:AlternateContent>
    <xdr:clientData/>
  </xdr:oneCellAnchor>
  <xdr:oneCellAnchor>
    <xdr:from>
      <xdr:col>0</xdr:col>
      <xdr:colOff>2057399</xdr:colOff>
      <xdr:row>123</xdr:row>
      <xdr:rowOff>40365</xdr:rowOff>
    </xdr:from>
    <xdr:ext cx="3523129" cy="632737"/>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2056765" y="45005625"/>
              <a:ext cx="3523615" cy="633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Y</m:t>
                        </m:r>
                        <m:r>
                          <a:rPr lang="en-US" altLang="zh-CN" sz="1100" b="0" i="0">
                            <a:latin typeface="Cambria Math" panose="02040503050406030204"/>
                          </a:rPr>
                          <m:t>3</m:t>
                        </m:r>
                      </m:e>
                      <m:sub>
                        <m:r>
                          <m:rPr>
                            <m:sty m:val="p"/>
                          </m:rPr>
                          <a:rPr lang="en-US" altLang="zh-CN" sz="1100" b="0" i="0">
                            <a:latin typeface="Cambria Math" panose="02040503050406030204"/>
                          </a:rPr>
                          <m:t>B</m:t>
                        </m:r>
                      </m:sub>
                    </m:sSub>
                    <m:r>
                      <a:rPr lang="en-US" altLang="zh-CN" sz="1100" i="0">
                        <a:latin typeface="Cambria Math" panose="02040503050406030204"/>
                      </a:rPr>
                      <m:t>=</m:t>
                    </m:r>
                    <m:d>
                      <m:dPr>
                        <m:begChr m:val="{"/>
                        <m:endChr m:val=""/>
                        <m:ctrlPr>
                          <a:rPr lang="en-US" altLang="zh-CN" sz="1100" i="1">
                            <a:latin typeface="Cambria Math" panose="02040503050406030204" pitchFamily="18" charset="0"/>
                          </a:rPr>
                        </m:ctrlPr>
                      </m:dPr>
                      <m:e>
                        <m:eqArr>
                          <m:eqArrPr>
                            <m:ctrlPr>
                              <a:rPr lang="en-US" altLang="zh-CN" sz="1100" i="1">
                                <a:latin typeface="Cambria Math" panose="02040503050406030204" pitchFamily="18" charset="0"/>
                              </a:rPr>
                            </m:ctrlPr>
                          </m:eqArrPr>
                          <m:e>
                            <m:r>
                              <a:rPr lang="zh-CN" altLang="en-US" sz="1100" i="0">
                                <a:latin typeface="Cambria Math" panose="02040503050406030204"/>
                              </a:rPr>
                              <m:t>无机房</m:t>
                            </m:r>
                            <m:r>
                              <a:rPr lang="en-US" altLang="zh-CN" sz="1100" b="0" i="0">
                                <a:latin typeface="Cambria Math" panose="02040503050406030204"/>
                              </a:rPr>
                              <m:t>:</m:t>
                            </m:r>
                            <m:d>
                              <m:dPr>
                                <m:begChr m:val="{"/>
                                <m:endChr m:val=""/>
                                <m:ctrlPr>
                                  <a:rPr lang="en-US" altLang="zh-CN" sz="1100" i="1">
                                    <a:latin typeface="Cambria Math" panose="02040503050406030204" pitchFamily="18" charset="0"/>
                                  </a:rPr>
                                </m:ctrlPr>
                              </m:dPr>
                              <m:e>
                                <m:eqArr>
                                  <m:eqArrPr>
                                    <m:ctrlPr>
                                      <a:rPr lang="en-US" altLang="zh-CN" sz="1100" i="1">
                                        <a:latin typeface="Cambria Math" panose="02040503050406030204" pitchFamily="18" charset="0"/>
                                      </a:rPr>
                                    </m:ctrlPr>
                                  </m:eqArrPr>
                                  <m:e>
                                    <m:r>
                                      <m:rPr>
                                        <m:sty m:val="p"/>
                                      </m:rPr>
                                      <a:rPr lang="en-US" altLang="zh-CN" sz="1100" b="0" i="0">
                                        <a:solidFill>
                                          <a:schemeClr val="tx1"/>
                                        </a:solidFill>
                                        <a:effectLst/>
                                        <a:latin typeface="Cambria Math" panose="02040503050406030204"/>
                                        <a:ea typeface="+mn-ea"/>
                                        <a:cs typeface="+mn-cs"/>
                                      </a:rPr>
                                      <m:t>MRD</m:t>
                                    </m:r>
                                    <m:r>
                                      <a:rPr lang="en-US" altLang="zh-CN" sz="1100" b="0" i="0">
                                        <a:solidFill>
                                          <a:schemeClr val="tx1"/>
                                        </a:solidFill>
                                        <a:effectLst/>
                                        <a:latin typeface="Cambria Math" panose="02040503050406030204"/>
                                        <a:ea typeface="+mn-ea"/>
                                        <a:cs typeface="+mn-cs"/>
                                      </a:rPr>
                                      <m:t>+</m:t>
                                    </m:r>
                                    <m:r>
                                      <m:rPr>
                                        <m:sty m:val="p"/>
                                      </m:rPr>
                                      <a:rPr lang="en-US" altLang="zh-CN" sz="1100" b="0" i="0">
                                        <a:solidFill>
                                          <a:schemeClr val="tx1"/>
                                        </a:solidFill>
                                        <a:effectLst/>
                                        <a:latin typeface="Cambria Math" panose="02040503050406030204"/>
                                        <a:ea typeface="+mn-ea"/>
                                        <a:cs typeface="+mn-cs"/>
                                      </a:rPr>
                                      <m:t>ST</m:t>
                                    </m:r>
                                    <m:r>
                                      <a:rPr lang="en-US" altLang="zh-CN" sz="1100" b="0" i="0">
                                        <a:latin typeface="Cambria Math" panose="02040503050406030204"/>
                                      </a:rPr>
                                      <m:t>,</m:t>
                                    </m:r>
                                    <m:r>
                                      <a:rPr lang="zh-CN" altLang="en-US" sz="1100" b="0" i="0">
                                        <a:latin typeface="Cambria Math" panose="02040503050406030204"/>
                                      </a:rPr>
                                      <m:t>靠后放置</m:t>
                                    </m:r>
                                  </m:e>
                                  <m:e>
                                    <m:r>
                                      <a:rPr lang="en-US" altLang="zh-CN" sz="1100" b="0" i="0">
                                        <a:latin typeface="Cambria Math" panose="02040503050406030204"/>
                                      </a:rPr>
                                      <m:t>−,</m:t>
                                    </m:r>
                                    <m:r>
                                      <a:rPr lang="zh-CN" altLang="en-US" sz="1100" i="0">
                                        <a:latin typeface="Cambria Math" panose="02040503050406030204"/>
                                      </a:rPr>
                                      <m:t>靠前放置</m:t>
                                    </m:r>
                                  </m:e>
                                </m:eqArr>
                              </m:e>
                            </m:d>
                          </m:e>
                          <m:e>
                            <m:r>
                              <a:rPr lang="zh-CN" altLang="en-US" sz="1100" i="0">
                                <a:latin typeface="Cambria Math" panose="02040503050406030204"/>
                              </a:rPr>
                              <m:t>有机房</m:t>
                            </m:r>
                            <m:r>
                              <a:rPr lang="en-US" altLang="zh-CN" sz="1100" b="0" i="0">
                                <a:latin typeface="Cambria Math" panose="02040503050406030204"/>
                              </a:rPr>
                              <m:t>:−</m:t>
                            </m:r>
                          </m:e>
                        </m:eqArr>
                      </m:e>
                    </m:d>
                  </m:oMath>
                </m:oMathPara>
              </a14:m>
              <a:endParaRPr lang="zh-CN" altLang="en-US" sz="1100" i="0"/>
            </a:p>
          </xdr:txBody>
        </xdr:sp>
      </mc:Choice>
      <mc:Fallback xmlns:r="http://schemas.openxmlformats.org/officeDocument/2006/relationships" xmlns="">
        <xdr:sp>
          <xdr:nvSpPr>
            <xdr:cNvPr id="21" name="TextBox 20"/>
            <xdr:cNvSpPr txBox="1"/>
          </xdr:nvSpPr>
          <xdr:spPr>
            <a:xfrm>
              <a:off x="2056765" y="45005625"/>
              <a:ext cx="3523615" cy="633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Y</a:t>
              </a:r>
              <a:r>
                <a:rPr lang="en-US" altLang="zh-CN" sz="1100" b="0">
                  <a:latin typeface="Cambria Math" panose="02040503050406030204"/>
                </a:rPr>
                <a:t>3</a:t>
              </a:r>
              <a:r>
                <a:rPr lang="en-US" altLang="zh-CN" sz="1100" b="0">
                  <a:latin typeface="Cambria Math" panose="02040503050406030204" pitchFamily="18" charset="0"/>
                </a:rPr>
                <a:t>_</a:t>
              </a:r>
              <a:r>
                <a:rPr lang="en-US" altLang="zh-CN" sz="1100" b="0">
                  <a:latin typeface="Cambria Math" panose="02040503050406030204"/>
                </a:rPr>
                <a:t>B</a:t>
              </a:r>
              <a:r>
                <a:rPr lang="en-US" altLang="zh-CN" sz="1100">
                  <a:latin typeface="Cambria Math" panose="02040503050406030204"/>
                </a:rPr>
                <a:t>=</a:t>
              </a:r>
              <a:r>
                <a:rPr lang="en-US" altLang="zh-CN" sz="1100">
                  <a:latin typeface="Cambria Math" panose="02040503050406030204" pitchFamily="18" charset="0"/>
                </a:rPr>
                <a:t>{</a:t>
              </a:r>
              <a:r>
                <a:rPr lang="en-US" altLang="zh-CN" sz="1100">
                  <a:latin typeface="Cambria Math" panose="02040503050406030204" pitchFamily="18" charset="0"/>
                </a:rPr>
                <a:t>█(</a:t>
              </a:r>
              <a:r>
                <a:rPr lang="zh-CN" altLang="en-US" sz="1100">
                  <a:latin typeface="Cambria Math" panose="02040503050406030204"/>
                </a:rPr>
                <a:t>无机房</a:t>
              </a:r>
              <a:r>
                <a:rPr lang="en-US" altLang="zh-CN" sz="1100" b="0">
                  <a:latin typeface="Cambria Math" panose="02040503050406030204"/>
                </a:rPr>
                <a:t>:</a:t>
              </a:r>
              <a:r>
                <a:rPr lang="en-US" altLang="zh-CN" sz="1100">
                  <a:latin typeface="Cambria Math" panose="02040503050406030204" pitchFamily="18" charset="0"/>
                </a:rPr>
                <a:t>{</a:t>
              </a:r>
              <a:r>
                <a:rPr lang="en-US" altLang="zh-CN" sz="1100">
                  <a:latin typeface="Cambria Math" panose="02040503050406030204" pitchFamily="18" charset="0"/>
                </a:rPr>
                <a:t>█(</a:t>
              </a:r>
              <a:r>
                <a:rPr lang="en-US" altLang="zh-CN" sz="1100" b="0">
                  <a:solidFill>
                    <a:schemeClr val="tx1"/>
                  </a:solidFill>
                  <a:effectLst/>
                  <a:latin typeface="Cambria Math" panose="02040503050406030204"/>
                  <a:ea typeface="+mn-ea"/>
                  <a:cs typeface="+mn-cs"/>
                </a:rPr>
                <a:t>MRD</a:t>
              </a:r>
              <a:r>
                <a:rPr lang="en-US" altLang="zh-CN" sz="1100" b="0">
                  <a:solidFill>
                    <a:schemeClr val="tx1"/>
                  </a:solidFill>
                  <a:effectLst/>
                  <a:latin typeface="Cambria Math" panose="02040503050406030204"/>
                  <a:ea typeface="+mn-ea"/>
                  <a:cs typeface="+mn-cs"/>
                </a:rPr>
                <a:t>+</a:t>
              </a:r>
              <a:r>
                <a:rPr lang="en-US" altLang="zh-CN" sz="1100" b="0">
                  <a:solidFill>
                    <a:schemeClr val="tx1"/>
                  </a:solidFill>
                  <a:effectLst/>
                  <a:latin typeface="Cambria Math" panose="02040503050406030204"/>
                  <a:ea typeface="+mn-ea"/>
                  <a:cs typeface="+mn-cs"/>
                </a:rPr>
                <a:t>ST</a:t>
              </a:r>
              <a:r>
                <a:rPr lang="en-US" altLang="zh-CN" sz="1100" b="0">
                  <a:latin typeface="Cambria Math" panose="02040503050406030204"/>
                </a:rPr>
                <a:t>,</a:t>
              </a:r>
              <a:r>
                <a:rPr lang="zh-CN" altLang="en-US" sz="1100" b="0">
                  <a:latin typeface="Cambria Math" panose="02040503050406030204"/>
                </a:rPr>
                <a:t>靠后放置</a:t>
              </a:r>
              <a:r>
                <a:rPr lang="en-US" altLang="zh-CN" sz="1100">
                  <a:latin typeface="Cambria Math" panose="02040503050406030204" pitchFamily="18" charset="0"/>
                </a:rPr>
                <a:t>@</a:t>
              </a:r>
              <a:r>
                <a:rPr lang="en-US" altLang="zh-CN" sz="1100" b="0">
                  <a:latin typeface="Cambria Math" panose="02040503050406030204"/>
                </a:rPr>
                <a:t>−,</a:t>
              </a:r>
              <a:r>
                <a:rPr lang="zh-CN" altLang="en-US" sz="1100">
                  <a:latin typeface="Cambria Math" panose="02040503050406030204"/>
                </a:rPr>
                <a:t>靠前放置</a:t>
              </a:r>
              <a:r>
                <a:rPr lang="en-US" altLang="zh-CN" sz="1100">
                  <a:latin typeface="Cambria Math" panose="02040503050406030204" pitchFamily="18" charset="0"/>
                </a:rPr>
                <a:t>)</a:t>
              </a:r>
              <a:r>
                <a:rPr lang="en-US" altLang="zh-CN" sz="1100">
                  <a:latin typeface="Cambria Math" panose="02040503050406030204" pitchFamily="18" charset="0"/>
                </a:rPr>
                <a:t>┤</a:t>
              </a:r>
              <a:r>
                <a:rPr lang="en-US" altLang="zh-CN" sz="1100">
                  <a:latin typeface="Cambria Math" panose="02040503050406030204" pitchFamily="18" charset="0"/>
                </a:rPr>
                <a:t>@</a:t>
              </a:r>
              <a:r>
                <a:rPr lang="zh-CN" altLang="en-US" sz="1100">
                  <a:latin typeface="Cambria Math" panose="02040503050406030204"/>
                </a:rPr>
                <a:t>有机房</a:t>
              </a:r>
              <a:r>
                <a:rPr lang="en-US" altLang="zh-CN" sz="1100" b="0">
                  <a:latin typeface="Cambria Math" panose="02040503050406030204"/>
                </a:rPr>
                <a:t>:−</a:t>
              </a:r>
              <a:r>
                <a:rPr lang="en-US" altLang="zh-CN" sz="1100">
                  <a:latin typeface="Cambria Math" panose="02040503050406030204" pitchFamily="18" charset="0"/>
                </a:rPr>
                <a:t>)</a:t>
              </a:r>
              <a:r>
                <a:rPr lang="en-US" altLang="zh-CN" sz="1100">
                  <a:latin typeface="Cambria Math" panose="02040503050406030204" pitchFamily="18" charset="0"/>
                </a:rPr>
                <a:t>┤</a:t>
              </a:r>
              <a:endParaRPr lang="zh-CN" altLang="en-US" sz="1100" i="0"/>
            </a:p>
          </xdr:txBody>
        </xdr:sp>
      </mc:Fallback>
    </mc:AlternateContent>
    <xdr:clientData/>
  </xdr:oneCellAnchor>
  <xdr:oneCellAnchor>
    <xdr:from>
      <xdr:col>0</xdr:col>
      <xdr:colOff>963706</xdr:colOff>
      <xdr:row>113</xdr:row>
      <xdr:rowOff>235323</xdr:rowOff>
    </xdr:from>
    <xdr:ext cx="3843618" cy="469937"/>
    <mc:AlternateContent xmlns:mc="http://schemas.openxmlformats.org/markup-compatibility/2006" xmlns:a14="http://schemas.microsoft.com/office/drawing/2010/main">
      <mc:Choice Requires="a14">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963295" y="39426515"/>
              <a:ext cx="3843655"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Y</m:t>
                        </m:r>
                        <m:r>
                          <a:rPr lang="en-US" altLang="zh-CN" sz="1100" b="0" i="0">
                            <a:latin typeface="Cambria Math" panose="02040503050406030204"/>
                          </a:rPr>
                          <m:t>2</m:t>
                        </m:r>
                      </m:e>
                      <m:sub>
                        <m:r>
                          <m:rPr>
                            <m:sty m:val="p"/>
                          </m:rPr>
                          <a:rPr lang="en-US" altLang="zh-CN" sz="1100" b="0" i="0">
                            <a:latin typeface="Cambria Math" panose="02040503050406030204"/>
                          </a:rPr>
                          <m:t>F</m:t>
                        </m:r>
                      </m:sub>
                    </m:sSub>
                    <m:r>
                      <a:rPr lang="en-US" altLang="zh-CN" sz="1100" i="0">
                        <a:latin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r>
                              <m:rPr>
                                <m:sty m:val="p"/>
                              </m:rPr>
                              <a:rPr lang="en-US" altLang="zh-CN" sz="1100" b="0" i="0">
                                <a:latin typeface="Cambria Math" panose="02040503050406030204"/>
                                <a:ea typeface="Cambria Math" panose="02040503050406030204"/>
                              </a:rPr>
                              <m:t>CWe</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CWG</m:t>
                            </m:r>
                            <m:r>
                              <a:rPr lang="en-US" altLang="zh-CN" sz="1100" b="0" i="0">
                                <a:latin typeface="Cambria Math" panose="02040503050406030204"/>
                                <a:ea typeface="Cambria Math" panose="02040503050406030204"/>
                              </a:rPr>
                              <m:t>/2−</m:t>
                            </m:r>
                            <m:sSub>
                              <m:sSubPr>
                                <m:ctrlPr>
                                  <a:rPr lang="en-US" altLang="zh-CN" sz="1100" b="0" i="1">
                                    <a:latin typeface="Cambria Math" panose="02040503050406030204" pitchFamily="18" charset="0"/>
                                    <a:ea typeface="Cambria Math" panose="02040503050406030204"/>
                                  </a:rPr>
                                </m:ctrlPr>
                              </m:sSubPr>
                              <m:e>
                                <m:r>
                                  <m:rPr>
                                    <m:sty m:val="p"/>
                                  </m:rPr>
                                  <a:rPr lang="en-US" altLang="zh-CN" sz="1100" b="0" i="0">
                                    <a:latin typeface="Cambria Math" panose="02040503050406030204"/>
                                    <a:ea typeface="Cambria Math" panose="02040503050406030204"/>
                                  </a:rPr>
                                  <m:t>CWGB</m:t>
                                </m:r>
                              </m:e>
                              <m:sub>
                                <m:r>
                                  <a:rPr lang="en-US" altLang="zh-CN" sz="1100" b="0" i="0">
                                    <a:latin typeface="Cambria Math" panose="02040503050406030204"/>
                                    <a:ea typeface="Cambria Math" panose="02040503050406030204"/>
                                  </a:rPr>
                                  <m:t>2</m:t>
                                </m:r>
                              </m:sub>
                            </m:sSub>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,对重侧置</m:t>
                            </m:r>
                          </m:e>
                          <m:e>
                            <m:r>
                              <a:rPr lang="en-US" altLang="zh-CN" sz="1100" b="0" i="0">
                                <a:latin typeface="Cambria Math" panose="02040503050406030204"/>
                                <a:ea typeface="Cambria Math" panose="02040503050406030204"/>
                              </a:rPr>
                              <m:t>−,</m:t>
                            </m:r>
                            <m:r>
                              <a:rPr lang="zh-CN" altLang="en-US" sz="1100" b="0" i="0">
                                <a:latin typeface="Cambria Math" panose="02040503050406030204"/>
                                <a:ea typeface="Cambria Math" panose="02040503050406030204"/>
                              </a:rPr>
                              <m:t>对重后置</m:t>
                            </m:r>
                            <m:r>
                              <a:rPr lang="en-US" altLang="zh-CN" sz="1100" b="0" i="1">
                                <a:latin typeface="Cambria Math" panose="02040503050406030204" pitchFamily="18" charset="0"/>
                                <a:ea typeface="Cambria Math" panose="02040503050406030204"/>
                              </a:rPr>
                              <m:t>                                                       </m:t>
                            </m:r>
                          </m:e>
                        </m:eqArr>
                      </m:e>
                    </m:d>
                  </m:oMath>
                </m:oMathPara>
              </a14:m>
              <a:endParaRPr lang="zh-CN" altLang="en-US" sz="1100" i="0"/>
            </a:p>
          </xdr:txBody>
        </xdr:sp>
      </mc:Choice>
      <mc:Fallback xmlns:r="http://schemas.openxmlformats.org/officeDocument/2006/relationships" xmlns="">
        <xdr:sp>
          <xdr:nvSpPr>
            <xdr:cNvPr id="22" name="TextBox 21"/>
            <xdr:cNvSpPr txBox="1"/>
          </xdr:nvSpPr>
          <xdr:spPr>
            <a:xfrm>
              <a:off x="963295" y="39426515"/>
              <a:ext cx="3843655"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Y</a:t>
              </a:r>
              <a:r>
                <a:rPr lang="en-US" altLang="zh-CN" sz="1100" b="0">
                  <a:latin typeface="Cambria Math" panose="02040503050406030204"/>
                </a:rPr>
                <a:t>2</a:t>
              </a:r>
              <a:r>
                <a:rPr lang="en-US" altLang="zh-CN" sz="1100" b="0">
                  <a:latin typeface="Cambria Math" panose="02040503050406030204" pitchFamily="18" charset="0"/>
                </a:rPr>
                <a:t>_</a:t>
              </a:r>
              <a:r>
                <a:rPr lang="en-US" altLang="zh-CN" sz="1100" b="0">
                  <a:latin typeface="Cambria Math" panose="02040503050406030204"/>
                </a:rPr>
                <a:t>F</a:t>
              </a:r>
              <a:r>
                <a:rPr lang="en-US" altLang="zh-CN" sz="1100">
                  <a:latin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CWe</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CWG</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CWGB</a:t>
              </a:r>
              <a:r>
                <a:rPr lang="en-US" altLang="zh-CN" sz="1100" b="0">
                  <a:latin typeface="Cambria Math" panose="02040503050406030204" pitchFamily="18" charset="0"/>
                  <a:ea typeface="Cambria Math" panose="02040503050406030204"/>
                </a:rPr>
                <a:t>_</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,对重侧置</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zh-CN" altLang="en-US" sz="1100" b="0">
                  <a:latin typeface="Cambria Math" panose="02040503050406030204"/>
                  <a:ea typeface="Cambria Math" panose="02040503050406030204"/>
                </a:rPr>
                <a:t>对重后置</a:t>
              </a:r>
              <a:r>
                <a:rPr lang="en-US" altLang="zh-CN" sz="1100" b="0">
                  <a:latin typeface="Cambria Math" panose="02040503050406030204" pitchFamily="18" charset="0"/>
                  <a:ea typeface="Cambria Math" panose="02040503050406030204"/>
                </a:rPr>
                <a:t>                                                       </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941294</xdr:colOff>
      <xdr:row>114</xdr:row>
      <xdr:rowOff>432548</xdr:rowOff>
    </xdr:from>
    <xdr:ext cx="4336675" cy="963469"/>
    <mc:AlternateContent xmlns:mc="http://schemas.openxmlformats.org/markup-compatibility/2006" xmlns:a14="http://schemas.microsoft.com/office/drawing/2010/main">
      <mc:Choice Requires="a14">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941070" y="39867840"/>
              <a:ext cx="4336415" cy="963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a:rPr>
                          <m:t>Y</m:t>
                        </m:r>
                        <m:r>
                          <a:rPr lang="en-US" altLang="zh-CN" sz="1100" b="0" i="0">
                            <a:latin typeface="Cambria Math" panose="02040503050406030204"/>
                          </a:rPr>
                          <m:t>2</m:t>
                        </m:r>
                      </m:e>
                      <m:sub>
                        <m:r>
                          <m:rPr>
                            <m:sty m:val="p"/>
                          </m:rPr>
                          <a:rPr lang="en-US" altLang="zh-CN" sz="1100" b="0" i="0">
                            <a:latin typeface="Cambria Math" panose="02040503050406030204"/>
                          </a:rPr>
                          <m:t>B</m:t>
                        </m:r>
                      </m:sub>
                    </m:sSub>
                    <m:r>
                      <a:rPr lang="en-US" altLang="zh-CN" sz="1100" i="0">
                        <a:latin typeface="Cambria Math" panose="02040503050406030204"/>
                      </a:rPr>
                      <m:t>=</m:t>
                    </m:r>
                    <m:d>
                      <m:dPr>
                        <m:begChr m:val="{"/>
                        <m:endChr m:val=""/>
                        <m:ctrlPr>
                          <a:rPr lang="en-US" altLang="zh-CN" sz="1100" b="0" i="1">
                            <a:latin typeface="Cambria Math" panose="02040503050406030204" pitchFamily="18" charset="0"/>
                            <a:ea typeface="Cambria Math" panose="02040503050406030204"/>
                          </a:rPr>
                        </m:ctrlPr>
                      </m:dPr>
                      <m:e>
                        <m:eqArr>
                          <m:eqArrPr>
                            <m:ctrlPr>
                              <a:rPr lang="en-US" altLang="zh-CN" sz="1100" b="0" i="1">
                                <a:latin typeface="Cambria Math" panose="02040503050406030204" pitchFamily="18" charset="0"/>
                                <a:ea typeface="Cambria Math" panose="02040503050406030204"/>
                              </a:rPr>
                            </m:ctrlPr>
                          </m:eqArrPr>
                          <m:e>
                            <m:r>
                              <m:rPr>
                                <m:sty m:val="p"/>
                              </m:rPr>
                              <a:rPr lang="en-US" altLang="zh-CN" sz="1100" b="0" i="0">
                                <a:latin typeface="Cambria Math" panose="02040503050406030204"/>
                                <a:ea typeface="Cambria Math" panose="02040503050406030204"/>
                              </a:rPr>
                              <m:t>CWe</m:t>
                            </m:r>
                            <m:r>
                              <a:rPr lang="en-US" altLang="zh-CN" sz="1100" b="0" i="0">
                                <a:latin typeface="Cambria Math" panose="02040503050406030204"/>
                                <a:ea typeface="Cambria Math" panose="02040503050406030204"/>
                              </a:rPr>
                              <m:t>+</m:t>
                            </m:r>
                            <m:f>
                              <m:fPr>
                                <m:ctrlPr>
                                  <a:rPr lang="en-US" altLang="zh-CN" sz="1100" b="0" i="1">
                                    <a:latin typeface="Cambria Math" panose="02040503050406030204" pitchFamily="18" charset="0"/>
                                    <a:ea typeface="Cambria Math" panose="02040503050406030204"/>
                                  </a:rPr>
                                </m:ctrlPr>
                              </m:fPr>
                              <m:num>
                                <m:r>
                                  <m:rPr>
                                    <m:sty m:val="p"/>
                                  </m:rPr>
                                  <a:rPr lang="en-US" altLang="zh-CN" sz="1100" b="0" i="0">
                                    <a:latin typeface="Cambria Math" panose="02040503050406030204"/>
                                    <a:ea typeface="Cambria Math" panose="02040503050406030204"/>
                                  </a:rPr>
                                  <m:t>CWG</m:t>
                                </m:r>
                              </m:num>
                              <m:den>
                                <m:r>
                                  <a:rPr lang="en-US" altLang="zh-CN" sz="1100" b="0" i="0">
                                    <a:latin typeface="Cambria Math" panose="02040503050406030204"/>
                                    <a:ea typeface="Cambria Math" panose="02040503050406030204"/>
                                  </a:rPr>
                                  <m:t>2</m:t>
                                </m:r>
                              </m:den>
                            </m:f>
                            <m:r>
                              <a:rPr lang="en-US" altLang="zh-CN" sz="1100" b="0" i="0">
                                <a:latin typeface="Cambria Math" panose="02040503050406030204"/>
                                <a:ea typeface="Cambria Math" panose="02040503050406030204"/>
                              </a:rPr>
                              <m:t>+</m:t>
                            </m:r>
                            <m:sSub>
                              <m:sSubPr>
                                <m:ctrlPr>
                                  <a:rPr lang="en-US" altLang="zh-CN" sz="1100" b="0" i="1">
                                    <a:latin typeface="Cambria Math" panose="02040503050406030204" pitchFamily="18" charset="0"/>
                                    <a:ea typeface="Cambria Math" panose="02040503050406030204"/>
                                  </a:rPr>
                                </m:ctrlPr>
                              </m:sSubPr>
                              <m:e>
                                <m:r>
                                  <m:rPr>
                                    <m:sty m:val="p"/>
                                  </m:rPr>
                                  <a:rPr lang="en-US" altLang="zh-CN" sz="1100" b="0" i="0">
                                    <a:latin typeface="Cambria Math" panose="02040503050406030204"/>
                                    <a:ea typeface="Cambria Math" panose="02040503050406030204"/>
                                  </a:rPr>
                                  <m:t>CWGB</m:t>
                                </m:r>
                              </m:e>
                              <m:sub>
                                <m:r>
                                  <a:rPr lang="en-US" altLang="zh-CN" sz="1100" b="0" i="0">
                                    <a:latin typeface="Cambria Math" panose="02040503050406030204"/>
                                    <a:ea typeface="Cambria Math" panose="02040503050406030204"/>
                                  </a:rPr>
                                  <m:t>2</m:t>
                                </m:r>
                              </m:sub>
                            </m:sSub>
                            <m:r>
                              <a:rPr lang="en-US" altLang="zh-CN" sz="1100" b="0" i="0">
                                <a:latin typeface="Cambria Math" panose="02040503050406030204" pitchFamily="18" charset="0"/>
                                <a:ea typeface="Cambria Math" panose="02040503050406030204"/>
                              </a:rPr>
                              <m:t>+</m:t>
                            </m:r>
                            <m:r>
                              <m:rPr>
                                <m:sty m:val="p"/>
                              </m:rPr>
                              <a:rPr lang="en-US" altLang="zh-CN" sz="1100" b="0" i="0">
                                <a:latin typeface="Cambria Math" panose="02040503050406030204" pitchFamily="18" charset="0"/>
                                <a:ea typeface="Cambria Math" panose="02040503050406030204"/>
                              </a:rPr>
                              <m:t>CWGB</m:t>
                            </m:r>
                            <m:r>
                              <a:rPr lang="en-US" altLang="zh-CN" sz="1100" b="0" i="0">
                                <a:latin typeface="Cambria Math" panose="02040503050406030204" pitchFamily="18" charset="0"/>
                                <a:ea typeface="Cambria Math" panose="02040503050406030204"/>
                              </a:rPr>
                              <m:t>2</m:t>
                            </m:r>
                            <m:r>
                              <m:rPr>
                                <m:sty m:val="p"/>
                              </m:rPr>
                              <a:rPr lang="en-US" altLang="zh-CN" sz="1100" b="0" i="0">
                                <a:latin typeface="Cambria Math" panose="02040503050406030204" pitchFamily="18" charset="0"/>
                                <a:ea typeface="Cambria Math" panose="02040503050406030204"/>
                              </a:rPr>
                              <m:t>P</m:t>
                            </m:r>
                            <m:r>
                              <a:rPr lang="en-US" altLang="zh-CN" sz="1100" b="0" i="0">
                                <a:latin typeface="Cambria Math" panose="02040503050406030204"/>
                                <a:ea typeface="Cambria Math" panose="02040503050406030204"/>
                              </a:rPr>
                              <m:t>+</m:t>
                            </m:r>
                            <m:r>
                              <m:rPr>
                                <m:sty m:val="p"/>
                              </m:rPr>
                              <a:rPr lang="en-US" altLang="zh-CN" sz="1100" b="0" i="0">
                                <a:latin typeface="Cambria Math" panose="02040503050406030204"/>
                                <a:ea typeface="Cambria Math" panose="02040503050406030204"/>
                              </a:rPr>
                              <m:t>ST</m:t>
                            </m:r>
                            <m:r>
                              <a:rPr lang="en-US" altLang="zh-CN" sz="1100" b="0" i="0">
                                <a:latin typeface="Cambria Math" panose="02040503050406030204"/>
                                <a:ea typeface="Cambria Math" panose="02040503050406030204"/>
                              </a:rPr>
                              <m:t>,对重侧置</m:t>
                            </m:r>
                            <m:r>
                              <a:rPr lang="zh-CN" altLang="en-US" sz="1100" b="0" i="1">
                                <a:latin typeface="Cambria Math" panose="02040503050406030204" pitchFamily="18" charset="0"/>
                                <a:ea typeface="Cambria Math" panose="02040503050406030204"/>
                              </a:rPr>
                              <m:t>非贯通门</m:t>
                            </m:r>
                          </m:e>
                          <m:e>
                            <m:r>
                              <m:rPr>
                                <m:sty m:val="p"/>
                              </m:rPr>
                              <a:rPr lang="en-US" sz="1100" b="0" i="0">
                                <a:solidFill>
                                  <a:schemeClr val="tx1"/>
                                </a:solidFill>
                                <a:effectLst/>
                                <a:latin typeface="Cambria Math" panose="02040503050406030204" pitchFamily="18" charset="0"/>
                                <a:ea typeface="+mn-ea"/>
                                <a:cs typeface="+mn-cs"/>
                              </a:rPr>
                              <m:t>CWe</m:t>
                            </m:r>
                            <m:r>
                              <a:rPr lang="en-US" sz="1100" b="0" i="0">
                                <a:solidFill>
                                  <a:schemeClr val="tx1"/>
                                </a:solidFill>
                                <a:effectLst/>
                                <a:latin typeface="Cambria Math" panose="02040503050406030204" pitchFamily="18" charset="0"/>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m:rPr>
                                    <m:sty m:val="p"/>
                                  </m:rPr>
                                  <a:rPr lang="en-US" sz="1100" b="0" i="0">
                                    <a:solidFill>
                                      <a:schemeClr val="tx1"/>
                                    </a:solidFill>
                                    <a:effectLst/>
                                    <a:latin typeface="Cambria Math" panose="02040503050406030204" pitchFamily="18" charset="0"/>
                                    <a:ea typeface="+mn-ea"/>
                                    <a:cs typeface="+mn-cs"/>
                                  </a:rPr>
                                  <m:t>CWG</m:t>
                                </m:r>
                              </m:num>
                              <m:den>
                                <m:r>
                                  <a:rPr lang="en-US" sz="1100" b="0" i="0">
                                    <a:solidFill>
                                      <a:schemeClr val="tx1"/>
                                    </a:solidFill>
                                    <a:effectLst/>
                                    <a:latin typeface="Cambria Math" panose="02040503050406030204" pitchFamily="18" charset="0"/>
                                    <a:ea typeface="+mn-ea"/>
                                    <a:cs typeface="+mn-cs"/>
                                  </a:rPr>
                                  <m:t>2</m:t>
                                </m:r>
                              </m:den>
                            </m:f>
                            <m:r>
                              <a:rPr lang="en-US" sz="1100" b="0" i="0">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CWGB</m:t>
                                </m:r>
                              </m:e>
                              <m:sub>
                                <m:r>
                                  <a:rPr lang="en-US" sz="1100" b="0" i="0">
                                    <a:solidFill>
                                      <a:schemeClr val="tx1"/>
                                    </a:solidFill>
                                    <a:effectLst/>
                                    <a:latin typeface="Cambria Math" panose="02040503050406030204" pitchFamily="18" charset="0"/>
                                    <a:ea typeface="+mn-ea"/>
                                    <a:cs typeface="+mn-cs"/>
                                  </a:rPr>
                                  <m:t>2</m:t>
                                </m:r>
                              </m:sub>
                            </m:sSub>
                            <m:r>
                              <a:rPr lang="en-US" sz="1100" b="0" i="0">
                                <a:solidFill>
                                  <a:schemeClr val="tx1"/>
                                </a:solidFill>
                                <a:effectLst/>
                                <a:latin typeface="Cambria Math" panose="02040503050406030204" pitchFamily="18" charset="0"/>
                                <a:ea typeface="+mn-ea"/>
                                <a:cs typeface="+mn-cs"/>
                              </a:rPr>
                              <m:t>+</m:t>
                            </m:r>
                            <m:r>
                              <m:rPr>
                                <m:sty m:val="p"/>
                              </m:rPr>
                              <a:rPr lang="en-US" sz="1100" b="0" i="0">
                                <a:solidFill>
                                  <a:schemeClr val="tx1"/>
                                </a:solidFill>
                                <a:effectLst/>
                                <a:latin typeface="Cambria Math" panose="02040503050406030204" pitchFamily="18" charset="0"/>
                                <a:ea typeface="+mn-ea"/>
                                <a:cs typeface="+mn-cs"/>
                              </a:rPr>
                              <m:t>ST</m:t>
                            </m:r>
                            <m:r>
                              <a:rPr lang="en-US" sz="1100" b="0" i="0">
                                <a:solidFill>
                                  <a:schemeClr val="tx1"/>
                                </a:solidFill>
                                <a:effectLst/>
                                <a:latin typeface="Cambria Math" panose="02040503050406030204" pitchFamily="18" charset="0"/>
                                <a:ea typeface="+mn-ea"/>
                                <a:cs typeface="+mn-cs"/>
                              </a:rPr>
                              <m:t>,</m:t>
                            </m:r>
                            <m:r>
                              <a:rPr lang="en-US" sz="1100" b="0" i="0">
                                <a:solidFill>
                                  <a:schemeClr val="tx1"/>
                                </a:solidFill>
                                <a:effectLst/>
                                <a:latin typeface="Cambria Math" panose="02040503050406030204" pitchFamily="18" charset="0"/>
                                <a:ea typeface="+mn-ea"/>
                                <a:cs typeface="+mn-cs"/>
                              </a:rPr>
                              <m:t>对重侧置</m:t>
                            </m:r>
                            <m:r>
                              <a:rPr lang="zh-CN" altLang="en-US" sz="1100" b="0" i="1">
                                <a:solidFill>
                                  <a:schemeClr val="tx1"/>
                                </a:solidFill>
                                <a:effectLst/>
                                <a:latin typeface="Cambria Math" panose="02040503050406030204" pitchFamily="18" charset="0"/>
                                <a:ea typeface="+mn-ea"/>
                                <a:cs typeface="+mn-cs"/>
                              </a:rPr>
                              <m:t>贯通门</m:t>
                            </m:r>
                            <m:r>
                              <a:rPr lang="en-US" altLang="zh-CN" sz="1100" b="0" i="1">
                                <a:solidFill>
                                  <a:schemeClr val="tx1"/>
                                </a:solidFill>
                                <a:effectLst/>
                                <a:latin typeface="Cambria Math" panose="02040503050406030204" pitchFamily="18" charset="0"/>
                                <a:ea typeface="+mn-ea"/>
                                <a:cs typeface="+mn-cs"/>
                              </a:rPr>
                              <m:t>                          </m:t>
                            </m:r>
                          </m:e>
                          <m:e>
                            <m:r>
                              <a:rPr lang="en-US" altLang="zh-CN" sz="1100" b="0" i="0">
                                <a:latin typeface="Cambria Math" panose="02040503050406030204"/>
                                <a:ea typeface="Cambria Math" panose="02040503050406030204"/>
                              </a:rPr>
                              <m:t>−,</m:t>
                            </m:r>
                            <m:r>
                              <a:rPr lang="zh-CN" altLang="en-US" sz="1100" b="0" i="0">
                                <a:latin typeface="Cambria Math" panose="02040503050406030204"/>
                                <a:ea typeface="Cambria Math" panose="02040503050406030204"/>
                              </a:rPr>
                              <m:t>对重后置</m:t>
                            </m:r>
                            <m:r>
                              <a:rPr lang="en-US" altLang="zh-CN" sz="1100" b="0" i="1">
                                <a:latin typeface="Cambria Math" panose="02040503050406030204" pitchFamily="18" charset="0"/>
                                <a:ea typeface="Cambria Math" panose="02040503050406030204"/>
                              </a:rPr>
                              <m:t>                                                                                           </m:t>
                            </m:r>
                          </m:e>
                        </m:eqArr>
                      </m:e>
                    </m:d>
                  </m:oMath>
                </m:oMathPara>
              </a14:m>
              <a:endParaRPr lang="zh-CN" altLang="en-US" sz="1100" i="0"/>
            </a:p>
          </xdr:txBody>
        </xdr:sp>
      </mc:Choice>
      <mc:Fallback xmlns:r="http://schemas.openxmlformats.org/officeDocument/2006/relationships" xmlns="">
        <xdr:sp>
          <xdr:nvSpPr>
            <xdr:cNvPr id="23" name="TextBox 22"/>
            <xdr:cNvSpPr txBox="1"/>
          </xdr:nvSpPr>
          <xdr:spPr>
            <a:xfrm>
              <a:off x="941070" y="39867840"/>
              <a:ext cx="4336415" cy="963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a:rPr>
                <a:t>Y</a:t>
              </a:r>
              <a:r>
                <a:rPr lang="en-US" altLang="zh-CN" sz="1100" b="0">
                  <a:latin typeface="Cambria Math" panose="02040503050406030204"/>
                </a:rPr>
                <a:t>2</a:t>
              </a:r>
              <a:r>
                <a:rPr lang="en-US" altLang="zh-CN" sz="1100" b="0">
                  <a:latin typeface="Cambria Math" panose="02040503050406030204" pitchFamily="18" charset="0"/>
                </a:rPr>
                <a:t>_</a:t>
              </a:r>
              <a:r>
                <a:rPr lang="en-US" altLang="zh-CN" sz="1100" b="0">
                  <a:latin typeface="Cambria Math" panose="02040503050406030204"/>
                </a:rPr>
                <a:t>B</a:t>
              </a:r>
              <a:r>
                <a:rPr lang="en-US" altLang="zh-CN" sz="1100">
                  <a:latin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CWe</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CWG</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2</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CWGB</a:t>
              </a:r>
              <a:r>
                <a:rPr lang="en-US" altLang="zh-CN" sz="1100" b="0">
                  <a:latin typeface="Cambria Math" panose="02040503050406030204" pitchFamily="18" charset="0"/>
                  <a:ea typeface="Cambria Math" panose="02040503050406030204"/>
                </a:rPr>
                <a:t>_</a:t>
              </a:r>
              <a:r>
                <a:rPr lang="en-US" altLang="zh-CN" sz="1100" b="0">
                  <a:latin typeface="Cambria Math" panose="02040503050406030204"/>
                  <a:ea typeface="Cambria Math" panose="02040503050406030204"/>
                </a:rPr>
                <a:t>2</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CWGB</a:t>
              </a:r>
              <a:r>
                <a:rPr lang="en-US" altLang="zh-CN" sz="1100" b="0">
                  <a:latin typeface="Cambria Math" panose="02040503050406030204" pitchFamily="18" charset="0"/>
                  <a:ea typeface="Cambria Math" panose="02040503050406030204"/>
                </a:rPr>
                <a:t>2</a:t>
              </a:r>
              <a:r>
                <a:rPr lang="en-US" altLang="zh-CN" sz="1100" b="0">
                  <a:latin typeface="Cambria Math" panose="02040503050406030204" pitchFamily="18" charset="0"/>
                  <a:ea typeface="Cambria Math" panose="02040503050406030204"/>
                </a:rPr>
                <a:t>P</a:t>
              </a:r>
              <a:r>
                <a:rPr lang="en-US" altLang="zh-CN" sz="1100" b="0">
                  <a:latin typeface="Cambria Math" panose="02040503050406030204"/>
                  <a:ea typeface="Cambria Math" panose="02040503050406030204"/>
                </a:rPr>
                <a:t>+</a:t>
              </a:r>
              <a:r>
                <a:rPr lang="en-US" altLang="zh-CN" sz="1100" b="0">
                  <a:latin typeface="Cambria Math" panose="02040503050406030204"/>
                  <a:ea typeface="Cambria Math" panose="02040503050406030204"/>
                </a:rPr>
                <a:t>ST</a:t>
              </a:r>
              <a:r>
                <a:rPr lang="en-US" altLang="zh-CN" sz="1100" b="0">
                  <a:latin typeface="Cambria Math" panose="02040503050406030204"/>
                  <a:ea typeface="Cambria Math" panose="02040503050406030204"/>
                </a:rPr>
                <a:t>,对重侧置</a:t>
              </a:r>
              <a:r>
                <a:rPr lang="zh-CN" altLang="en-US" sz="1100" b="0">
                  <a:latin typeface="Cambria Math" panose="02040503050406030204" pitchFamily="18" charset="0"/>
                  <a:ea typeface="Cambria Math" panose="02040503050406030204"/>
                </a:rPr>
                <a:t>非贯通门</a:t>
              </a:r>
              <a:r>
                <a:rPr lang="en-US" altLang="zh-CN" sz="1100" b="0">
                  <a:latin typeface="Cambria Math" panose="02040503050406030204" pitchFamily="18" charset="0"/>
                  <a:ea typeface="Cambria Math" panose="02040503050406030204"/>
                </a:rPr>
                <a:t>@</a:t>
              </a:r>
              <a:r>
                <a:rPr lang="en-US" sz="1100" b="0">
                  <a:solidFill>
                    <a:schemeClr val="tx1"/>
                  </a:solidFill>
                  <a:effectLst/>
                  <a:latin typeface="Cambria Math" panose="02040503050406030204" pitchFamily="18" charset="0"/>
                  <a:ea typeface="+mn-ea"/>
                  <a:cs typeface="+mn-cs"/>
                </a:rPr>
                <a:t>CWe</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CWG</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2</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CWGB</a:t>
              </a:r>
              <a:r>
                <a:rPr lang="en-US" sz="1100" b="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2</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ST</a:t>
              </a:r>
              <a:r>
                <a:rPr lang="en-US" sz="1100" b="0">
                  <a:solidFill>
                    <a:schemeClr val="tx1"/>
                  </a:solidFill>
                  <a:effectLst/>
                  <a:latin typeface="Cambria Math" panose="02040503050406030204" pitchFamily="18" charset="0"/>
                  <a:ea typeface="+mn-ea"/>
                  <a:cs typeface="+mn-cs"/>
                </a:rPr>
                <a:t>,对重侧置</a:t>
              </a:r>
              <a:r>
                <a:rPr lang="zh-CN" altLang="en-US" sz="1100" b="0">
                  <a:solidFill>
                    <a:schemeClr val="tx1"/>
                  </a:solidFill>
                  <a:effectLst/>
                  <a:latin typeface="Cambria Math" panose="02040503050406030204" pitchFamily="18" charset="0"/>
                  <a:ea typeface="+mn-ea"/>
                  <a:cs typeface="+mn-cs"/>
                </a:rPr>
                <a:t>贯通门</a:t>
              </a:r>
              <a:r>
                <a:rPr lang="en-US" altLang="zh-CN" sz="1100" b="0">
                  <a:solidFill>
                    <a:schemeClr val="tx1"/>
                  </a:solidFill>
                  <a:effectLst/>
                  <a:latin typeface="Cambria Math" panose="02040503050406030204" pitchFamily="18" charset="0"/>
                  <a:ea typeface="+mn-ea"/>
                  <a:cs typeface="+mn-cs"/>
                </a:rPr>
                <a:t>                          </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a:ea typeface="Cambria Math" panose="02040503050406030204"/>
                </a:rPr>
                <a:t>−,</a:t>
              </a:r>
              <a:r>
                <a:rPr lang="zh-CN" altLang="en-US" sz="1100" b="0">
                  <a:latin typeface="Cambria Math" panose="02040503050406030204"/>
                  <a:ea typeface="Cambria Math" panose="02040503050406030204"/>
                </a:rPr>
                <a:t>对重后置</a:t>
              </a:r>
              <a:r>
                <a:rPr lang="en-US" altLang="zh-CN" sz="1100" b="0">
                  <a:latin typeface="Cambria Math" panose="02040503050406030204" pitchFamily="18" charset="0"/>
                  <a:ea typeface="Cambria Math" panose="02040503050406030204"/>
                </a:rPr>
                <a:t>                                                                                           </a:t>
              </a:r>
              <a:r>
                <a:rPr lang="en-US" altLang="zh-CN" sz="1100" b="0">
                  <a:latin typeface="Cambria Math" panose="02040503050406030204" pitchFamily="18" charset="0"/>
                  <a:ea typeface="Cambria Math" panose="02040503050406030204"/>
                </a:rPr>
                <a:t>)</a:t>
              </a:r>
              <a:r>
                <a:rPr lang="en-US" altLang="zh-CN" sz="1100" b="0">
                  <a:latin typeface="Cambria Math" panose="02040503050406030204" pitchFamily="18" charset="0"/>
                  <a:ea typeface="Cambria Math" panose="02040503050406030204"/>
                </a:rPr>
                <a:t>┤</a:t>
              </a:r>
              <a:endParaRPr lang="zh-CN" altLang="en-US" sz="1100" i="0"/>
            </a:p>
          </xdr:txBody>
        </xdr:sp>
      </mc:Fallback>
    </mc:AlternateContent>
    <xdr:clientData/>
  </xdr:oneCellAnchor>
  <xdr:oneCellAnchor>
    <xdr:from>
      <xdr:col>0</xdr:col>
      <xdr:colOff>432546</xdr:colOff>
      <xdr:row>77</xdr:row>
      <xdr:rowOff>201707</xdr:rowOff>
    </xdr:from>
    <xdr:ext cx="5271248" cy="719108"/>
    <mc:AlternateContent xmlns:mc="http://schemas.openxmlformats.org/markup-compatibility/2006" xmlns:a14="http://schemas.microsoft.com/office/drawing/2010/main">
      <mc:Choice Requires="a14">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32435" y="25052020"/>
              <a:ext cx="5271135" cy="719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rPr>
                        </m:ctrlPr>
                      </m:sSubPr>
                      <m:e>
                        <m:r>
                          <m:rPr>
                            <m:sty m:val="p"/>
                          </m:rPr>
                          <a:rPr lang="en-US" altLang="zh-CN" sz="1100" b="0" i="0">
                            <a:latin typeface="Cambria Math" panose="02040503050406030204" pitchFamily="18" charset="0"/>
                          </a:rPr>
                          <m:t>De</m:t>
                        </m:r>
                      </m:e>
                      <m:sub>
                        <m:r>
                          <m:rPr>
                            <m:sty m:val="p"/>
                          </m:rPr>
                          <a:rPr lang="en-US" altLang="zh-CN" sz="1100" b="0" i="0">
                            <a:latin typeface="Cambria Math" panose="02040503050406030204" pitchFamily="18" charset="0"/>
                          </a:rPr>
                          <m:t>S</m:t>
                        </m:r>
                      </m:sub>
                    </m:sSub>
                    <m:r>
                      <a:rPr lang="en-US" altLang="zh-CN" sz="1100" i="0">
                        <a:latin typeface="Cambria Math" panose="02040503050406030204"/>
                      </a:rPr>
                      <m:t>=</m:t>
                    </m:r>
                    <m:d>
                      <m:dPr>
                        <m:begChr m:val="{"/>
                        <m:endChr m:val=""/>
                        <m:ctrlPr>
                          <a:rPr lang="en-US" sz="1100" i="1">
                            <a:solidFill>
                              <a:schemeClr val="tx1"/>
                            </a:solidFill>
                            <a:effectLst/>
                            <a:latin typeface="Cambria Math" panose="02040503050406030204" pitchFamily="18" charset="0"/>
                            <a:ea typeface="+mn-ea"/>
                            <a:cs typeface="+mn-cs"/>
                          </a:rPr>
                        </m:ctrlPr>
                      </m:dPr>
                      <m:e>
                        <m:eqArr>
                          <m:eqArrPr>
                            <m:ctrlPr>
                              <a:rPr lang="en-US" sz="1100" i="1">
                                <a:solidFill>
                                  <a:schemeClr val="tx1"/>
                                </a:solidFill>
                                <a:effectLst/>
                                <a:latin typeface="Cambria Math" panose="02040503050406030204" pitchFamily="18" charset="0"/>
                                <a:ea typeface="+mn-ea"/>
                                <a:cs typeface="+mn-cs"/>
                              </a:rPr>
                            </m:ctrlPr>
                          </m:eqArrPr>
                          <m:e>
                            <m:r>
                              <a:rPr lang="zh-CN" altLang="en-US" sz="1100" i="0">
                                <a:solidFill>
                                  <a:schemeClr val="tx1"/>
                                </a:solidFill>
                                <a:effectLst/>
                                <a:latin typeface="Cambria Math" panose="02040503050406030204" pitchFamily="18" charset="0"/>
                                <a:ea typeface="+mn-ea"/>
                                <a:cs typeface="+mn-cs"/>
                              </a:rPr>
                              <m:t>绝对值最小</m:t>
                            </m:r>
                            <m:r>
                              <a:rPr lang="zh-CN" altLang="en-US" sz="1100" b="0" i="0">
                                <a:solidFill>
                                  <a:schemeClr val="tx1"/>
                                </a:solidFill>
                                <a:effectLst/>
                                <a:latin typeface="Cambria Math" panose="02040503050406030204" pitchFamily="18" charset="0"/>
                                <a:ea typeface="+mn-ea"/>
                                <a:cs typeface="+mn-cs"/>
                              </a:rPr>
                              <m:t>的值</m:t>
                            </m:r>
                            <m:d>
                              <m:dPr>
                                <m:begChr m:val="{"/>
                                <m:endChr m:val=""/>
                                <m:ctrlPr>
                                  <a:rPr lang="en-US" sz="1100" b="0" i="1">
                                    <a:solidFill>
                                      <a:schemeClr val="tx1"/>
                                    </a:solidFill>
                                    <a:effectLst/>
                                    <a:latin typeface="Cambria Math" panose="02040503050406030204" pitchFamily="18" charset="0"/>
                                    <a:ea typeface="+mn-ea"/>
                                    <a:cs typeface="+mn-cs"/>
                                  </a:rPr>
                                </m:ctrlPr>
                              </m:dPr>
                              <m:e>
                                <m:eqArr>
                                  <m:eqArrPr>
                                    <m:ctrlPr>
                                      <a:rPr lang="en-US" sz="1100" b="0" i="1">
                                        <a:solidFill>
                                          <a:schemeClr val="tx1"/>
                                        </a:solidFill>
                                        <a:effectLst/>
                                        <a:latin typeface="Cambria Math" panose="02040503050406030204" pitchFamily="18" charset="0"/>
                                        <a:ea typeface="+mn-ea"/>
                                        <a:cs typeface="+mn-cs"/>
                                      </a:rPr>
                                    </m:ctrlPr>
                                  </m:eqArrPr>
                                  <m:e>
                                    <m:r>
                                      <m:rPr>
                                        <m:sty m:val="p"/>
                                      </m:rPr>
                                      <a:rPr lang="en-US" sz="1100" b="0" i="0">
                                        <a:solidFill>
                                          <a:schemeClr val="tx1"/>
                                        </a:solidFill>
                                        <a:effectLst/>
                                        <a:latin typeface="Cambria Math" panose="02040503050406030204" pitchFamily="18" charset="0"/>
                                        <a:ea typeface="+mn-ea"/>
                                        <a:cs typeface="+mn-cs"/>
                                      </a:rPr>
                                      <m:t>MIN</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X</m:t>
                                            </m:r>
                                            <m:r>
                                              <a:rPr lang="en-US" sz="1100" b="0" i="0">
                                                <a:solidFill>
                                                  <a:schemeClr val="tx1"/>
                                                </a:solidFill>
                                                <a:effectLst/>
                                                <a:latin typeface="Cambria Math" panose="02040503050406030204" pitchFamily="18" charset="0"/>
                                                <a:ea typeface="+mn-ea"/>
                                                <a:cs typeface="+mn-cs"/>
                                              </a:rPr>
                                              <m:t>1</m:t>
                                            </m:r>
                                          </m:e>
                                          <m:sub>
                                            <m:r>
                                              <m:rPr>
                                                <m:sty m:val="p"/>
                                              </m:rPr>
                                              <a:rPr lang="en-US" sz="1100" b="0" i="0">
                                                <a:solidFill>
                                                  <a:schemeClr val="tx1"/>
                                                </a:solidFill>
                                                <a:effectLst/>
                                                <a:latin typeface="Cambria Math" panose="02040503050406030204" pitchFamily="18" charset="0"/>
                                                <a:ea typeface="+mn-ea"/>
                                                <a:cs typeface="+mn-cs"/>
                                              </a:rPr>
                                              <m:t>L</m:t>
                                            </m:r>
                                          </m:sub>
                                        </m:sSub>
                                        <m:r>
                                          <a:rPr lang="en-US" sz="1100" b="0" i="0">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X</m:t>
                                            </m:r>
                                            <m:r>
                                              <a:rPr lang="en-US" sz="1100" b="0" i="0">
                                                <a:solidFill>
                                                  <a:schemeClr val="tx1"/>
                                                </a:solidFill>
                                                <a:effectLst/>
                                                <a:latin typeface="Cambria Math" panose="02040503050406030204" pitchFamily="18" charset="0"/>
                                                <a:ea typeface="+mn-ea"/>
                                                <a:cs typeface="+mn-cs"/>
                                              </a:rPr>
                                              <m:t>2</m:t>
                                            </m:r>
                                          </m:e>
                                          <m:sub>
                                            <m:r>
                                              <m:rPr>
                                                <m:sty m:val="p"/>
                                              </m:rPr>
                                              <a:rPr lang="en-US" sz="1100" b="0" i="0">
                                                <a:solidFill>
                                                  <a:schemeClr val="tx1"/>
                                                </a:solidFill>
                                                <a:effectLst/>
                                                <a:latin typeface="Cambria Math" panose="02040503050406030204" pitchFamily="18" charset="0"/>
                                                <a:ea typeface="+mn-ea"/>
                                                <a:cs typeface="+mn-cs"/>
                                              </a:rPr>
                                              <m:t>L</m:t>
                                            </m:r>
                                          </m:sub>
                                        </m:sSub>
                                      </m:e>
                                    </m:d>
                                    <m:r>
                                      <a:rPr lang="en-US" sz="1100" b="0" i="0">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X</m:t>
                                        </m:r>
                                        <m:r>
                                          <a:rPr lang="en-US" sz="1100" b="0" i="0">
                                            <a:solidFill>
                                              <a:schemeClr val="tx1"/>
                                            </a:solidFill>
                                            <a:effectLst/>
                                            <a:latin typeface="Cambria Math" panose="02040503050406030204" pitchFamily="18" charset="0"/>
                                            <a:ea typeface="+mn-ea"/>
                                            <a:cs typeface="+mn-cs"/>
                                          </a:rPr>
                                          <m:t>3</m:t>
                                        </m:r>
                                      </m:e>
                                      <m:sub>
                                        <m:r>
                                          <m:rPr>
                                            <m:sty m:val="p"/>
                                          </m:rPr>
                                          <a:rPr lang="en-US" sz="1100" b="0" i="0">
                                            <a:solidFill>
                                              <a:schemeClr val="tx1"/>
                                            </a:solidFill>
                                            <a:effectLst/>
                                            <a:latin typeface="Cambria Math" panose="02040503050406030204" pitchFamily="18" charset="0"/>
                                            <a:ea typeface="+mn-ea"/>
                                            <a:cs typeface="+mn-cs"/>
                                          </a:rPr>
                                          <m:t>L</m:t>
                                        </m:r>
                                        <m:r>
                                          <a:rPr lang="en-US" sz="1100" b="0" i="0">
                                            <a:solidFill>
                                              <a:schemeClr val="tx1"/>
                                            </a:solidFill>
                                            <a:effectLst/>
                                            <a:latin typeface="Cambria Math" panose="02040503050406030204" pitchFamily="18" charset="0"/>
                                            <a:ea typeface="+mn-ea"/>
                                            <a:cs typeface="+mn-cs"/>
                                          </a:rPr>
                                          <m:t>0</m:t>
                                        </m:r>
                                      </m:sub>
                                    </m:sSub>
                                  </m:e>
                                  <m:e>
                                    <m:r>
                                      <m:rPr>
                                        <m:sty m:val="p"/>
                                      </m:rPr>
                                      <a:rPr lang="en-US" sz="1100" b="0" i="0">
                                        <a:solidFill>
                                          <a:schemeClr val="tx1"/>
                                        </a:solidFill>
                                        <a:effectLst/>
                                        <a:latin typeface="Cambria Math" panose="02040503050406030204" pitchFamily="18" charset="0"/>
                                        <a:ea typeface="+mn-ea"/>
                                        <a:cs typeface="+mn-cs"/>
                                      </a:rPr>
                                      <m:t>MAX</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X</m:t>
                                            </m:r>
                                            <m:r>
                                              <a:rPr lang="en-US" sz="1100" b="0" i="0">
                                                <a:solidFill>
                                                  <a:schemeClr val="tx1"/>
                                                </a:solidFill>
                                                <a:effectLst/>
                                                <a:latin typeface="Cambria Math" panose="02040503050406030204" pitchFamily="18" charset="0"/>
                                                <a:ea typeface="+mn-ea"/>
                                                <a:cs typeface="+mn-cs"/>
                                              </a:rPr>
                                              <m:t>1</m:t>
                                            </m:r>
                                          </m:e>
                                          <m:sub>
                                            <m:r>
                                              <m:rPr>
                                                <m:sty m:val="p"/>
                                              </m:rPr>
                                              <a:rPr lang="en-US" sz="1100" b="0" i="0">
                                                <a:solidFill>
                                                  <a:schemeClr val="tx1"/>
                                                </a:solidFill>
                                                <a:effectLst/>
                                                <a:latin typeface="Cambria Math" panose="02040503050406030204" pitchFamily="18" charset="0"/>
                                                <a:ea typeface="+mn-ea"/>
                                                <a:cs typeface="+mn-cs"/>
                                              </a:rPr>
                                              <m:t>R</m:t>
                                            </m:r>
                                          </m:sub>
                                        </m:sSub>
                                        <m:r>
                                          <a:rPr lang="en-US" sz="1100" b="0" i="0">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X</m:t>
                                            </m:r>
                                            <m:r>
                                              <a:rPr lang="en-US" sz="1100" b="0" i="0">
                                                <a:solidFill>
                                                  <a:schemeClr val="tx1"/>
                                                </a:solidFill>
                                                <a:effectLst/>
                                                <a:latin typeface="Cambria Math" panose="02040503050406030204" pitchFamily="18" charset="0"/>
                                                <a:ea typeface="+mn-ea"/>
                                                <a:cs typeface="+mn-cs"/>
                                              </a:rPr>
                                              <m:t>2</m:t>
                                            </m:r>
                                          </m:e>
                                          <m:sub>
                                            <m:r>
                                              <m:rPr>
                                                <m:sty m:val="p"/>
                                              </m:rPr>
                                              <a:rPr lang="en-US" sz="1100" b="0" i="0">
                                                <a:solidFill>
                                                  <a:schemeClr val="tx1"/>
                                                </a:solidFill>
                                                <a:effectLst/>
                                                <a:latin typeface="Cambria Math" panose="02040503050406030204" pitchFamily="18" charset="0"/>
                                                <a:ea typeface="+mn-ea"/>
                                                <a:cs typeface="+mn-cs"/>
                                              </a:rPr>
                                              <m:t>R</m:t>
                                            </m:r>
                                          </m:sub>
                                        </m:sSub>
                                      </m:e>
                                    </m:d>
                                    <m:r>
                                      <a:rPr lang="en-US" sz="1100" b="0" i="0">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X</m:t>
                                        </m:r>
                                        <m:r>
                                          <a:rPr lang="en-US" sz="1100" b="0" i="0">
                                            <a:solidFill>
                                              <a:schemeClr val="tx1"/>
                                            </a:solidFill>
                                            <a:effectLst/>
                                            <a:latin typeface="Cambria Math" panose="02040503050406030204" pitchFamily="18" charset="0"/>
                                            <a:ea typeface="+mn-ea"/>
                                            <a:cs typeface="+mn-cs"/>
                                          </a:rPr>
                                          <m:t>3</m:t>
                                        </m:r>
                                      </m:e>
                                      <m:sub>
                                        <m:r>
                                          <m:rPr>
                                            <m:sty m:val="p"/>
                                          </m:rPr>
                                          <a:rPr lang="en-US" sz="1100" b="0" i="0">
                                            <a:solidFill>
                                              <a:schemeClr val="tx1"/>
                                            </a:solidFill>
                                            <a:effectLst/>
                                            <a:latin typeface="Cambria Math" panose="02040503050406030204" pitchFamily="18" charset="0"/>
                                            <a:ea typeface="+mn-ea"/>
                                            <a:cs typeface="+mn-cs"/>
                                          </a:rPr>
                                          <m:t>R</m:t>
                                        </m:r>
                                        <m:r>
                                          <a:rPr lang="en-US" sz="1100" b="0" i="0">
                                            <a:solidFill>
                                              <a:schemeClr val="tx1"/>
                                            </a:solidFill>
                                            <a:effectLst/>
                                            <a:latin typeface="Cambria Math" panose="02040503050406030204" pitchFamily="18" charset="0"/>
                                            <a:ea typeface="+mn-ea"/>
                                            <a:cs typeface="+mn-cs"/>
                                          </a:rPr>
                                          <m:t>0</m:t>
                                        </m:r>
                                      </m:sub>
                                    </m:sSub>
                                  </m:e>
                                </m:eqArr>
                              </m:e>
                            </m:d>
                            <m:r>
                              <a:rPr lang="en-US" sz="1100" b="0" i="0">
                                <a:solidFill>
                                  <a:schemeClr val="tx1"/>
                                </a:solidFill>
                                <a:effectLst/>
                                <a:latin typeface="Cambria Math" panose="02040503050406030204" pitchFamily="18" charset="0"/>
                                <a:ea typeface="+mn-ea"/>
                                <a:cs typeface="+mn-cs"/>
                              </a:rPr>
                              <m:t>, </m:t>
                            </m:r>
                            <m:r>
                              <a:rPr lang="zh-CN" altLang="en-US" sz="1100" b="0" i="0">
                                <a:solidFill>
                                  <a:schemeClr val="tx1"/>
                                </a:solidFill>
                                <a:effectLst/>
                                <a:latin typeface="Cambria Math" panose="02040503050406030204" pitchFamily="18" charset="0"/>
                                <a:ea typeface="+mn-ea"/>
                                <a:cs typeface="+mn-cs"/>
                              </a:rPr>
                              <m:t>调节门偏心可使井道更小</m:t>
                            </m:r>
                          </m:e>
                          <m:e>
                            <m:r>
                              <a:rPr lang="en-US" sz="1100" b="0" i="1">
                                <a:solidFill>
                                  <a:schemeClr val="tx1"/>
                                </a:solidFill>
                                <a:effectLst/>
                                <a:latin typeface="Cambria Math" panose="02040503050406030204" pitchFamily="18" charset="0"/>
                                <a:ea typeface="+mn-ea"/>
                                <a:cs typeface="+mn-cs"/>
                              </a:rPr>
                              <m:t>0,  </m:t>
                            </m:r>
                            <m:r>
                              <a:rPr lang="zh-CN" altLang="en-US" sz="1100" b="0" i="1">
                                <a:solidFill>
                                  <a:schemeClr val="tx1"/>
                                </a:solidFill>
                                <a:effectLst/>
                                <a:latin typeface="Cambria Math" panose="02040503050406030204" pitchFamily="18" charset="0"/>
                                <a:ea typeface="+mn-ea"/>
                                <a:cs typeface="+mn-cs"/>
                              </a:rPr>
                              <m:t>其它</m:t>
                            </m:r>
                            <m:r>
                              <a:rPr lang="en-US" sz="1100" b="0" i="1">
                                <a:solidFill>
                                  <a:schemeClr val="tx1"/>
                                </a:solidFill>
                                <a:effectLst/>
                                <a:latin typeface="Cambria Math" panose="02040503050406030204" pitchFamily="18" charset="0"/>
                                <a:ea typeface="+mn-ea"/>
                                <a:cs typeface="+mn-cs"/>
                              </a:rPr>
                              <m:t>                    </m:t>
                            </m:r>
                          </m:e>
                        </m:eqArr>
                      </m:e>
                    </m:d>
                  </m:oMath>
                </m:oMathPara>
              </a14:m>
              <a:endParaRPr lang="zh-CN" altLang="en-US" sz="1100" i="0"/>
            </a:p>
          </xdr:txBody>
        </xdr:sp>
      </mc:Choice>
      <mc:Fallback xmlns:r="http://schemas.openxmlformats.org/officeDocument/2006/relationships" xmlns="">
        <xdr:sp>
          <xdr:nvSpPr>
            <xdr:cNvPr id="24" name="TextBox 23"/>
            <xdr:cNvSpPr txBox="1"/>
          </xdr:nvSpPr>
          <xdr:spPr>
            <a:xfrm>
              <a:off x="432435" y="25052020"/>
              <a:ext cx="5271135" cy="719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CN" sz="1100" b="0">
                  <a:latin typeface="Cambria Math" panose="02040503050406030204" pitchFamily="18" charset="0"/>
                </a:rPr>
                <a:t>De</a:t>
              </a:r>
              <a:r>
                <a:rPr lang="en-US" altLang="zh-CN" sz="1100" b="0">
                  <a:latin typeface="Cambria Math" panose="02040503050406030204" pitchFamily="18" charset="0"/>
                </a:rPr>
                <a:t>_</a:t>
              </a:r>
              <a:r>
                <a:rPr lang="en-US" altLang="zh-CN" sz="1100" b="0">
                  <a:latin typeface="Cambria Math" panose="02040503050406030204" pitchFamily="18" charset="0"/>
                </a:rPr>
                <a:t>S</a:t>
              </a:r>
              <a:r>
                <a:rPr lang="en-US" altLang="zh-CN" sz="1100">
                  <a:latin typeface="Cambria Math" panose="02040503050406030204"/>
                </a:rPr>
                <a:t>=</a:t>
              </a:r>
              <a:r>
                <a:rPr lang="en-US" sz="1100">
                  <a:solidFill>
                    <a:schemeClr val="tx1"/>
                  </a:solidFill>
                  <a:effectLst/>
                  <a:latin typeface="Cambria Math" panose="02040503050406030204" pitchFamily="18" charset="0"/>
                  <a:ea typeface="+mn-ea"/>
                  <a:cs typeface="+mn-cs"/>
                </a:rPr>
                <a:t>{</a:t>
              </a:r>
              <a:r>
                <a:rPr lang="en-US" sz="1100">
                  <a:solidFill>
                    <a:schemeClr val="tx1"/>
                  </a:solidFill>
                  <a:effectLst/>
                  <a:latin typeface="Cambria Math" panose="02040503050406030204" pitchFamily="18" charset="0"/>
                  <a:ea typeface="+mn-ea"/>
                  <a:cs typeface="+mn-cs"/>
                </a:rPr>
                <a:t>█(</a:t>
              </a:r>
              <a:r>
                <a:rPr lang="zh-CN" altLang="en-US" sz="1100">
                  <a:solidFill>
                    <a:schemeClr val="tx1"/>
                  </a:solidFill>
                  <a:effectLst/>
                  <a:latin typeface="Cambria Math" panose="02040503050406030204" pitchFamily="18" charset="0"/>
                  <a:ea typeface="+mn-ea"/>
                  <a:cs typeface="+mn-cs"/>
                </a:rPr>
                <a:t>绝对值最小</a:t>
              </a:r>
              <a:r>
                <a:rPr lang="zh-CN" altLang="en-US" sz="1100" b="0">
                  <a:solidFill>
                    <a:schemeClr val="tx1"/>
                  </a:solidFill>
                  <a:effectLst/>
                  <a:latin typeface="Cambria Math" panose="02040503050406030204" pitchFamily="18" charset="0"/>
                  <a:ea typeface="+mn-ea"/>
                  <a:cs typeface="+mn-cs"/>
                </a:rPr>
                <a:t>的值</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MIN</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X</a:t>
              </a:r>
              <a:r>
                <a:rPr lang="en-US" sz="1100" b="0">
                  <a:solidFill>
                    <a:schemeClr val="tx1"/>
                  </a:solidFill>
                  <a:effectLst/>
                  <a:latin typeface="Cambria Math" panose="02040503050406030204" pitchFamily="18" charset="0"/>
                  <a:ea typeface="+mn-ea"/>
                  <a:cs typeface="+mn-cs"/>
                </a:rPr>
                <a:t>1</a:t>
              </a:r>
              <a:r>
                <a:rPr lang="en-US" sz="1100" b="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L</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X</a:t>
              </a:r>
              <a:r>
                <a:rPr lang="en-US" sz="1100" b="0">
                  <a:solidFill>
                    <a:schemeClr val="tx1"/>
                  </a:solidFill>
                  <a:effectLst/>
                  <a:latin typeface="Cambria Math" panose="02040503050406030204" pitchFamily="18" charset="0"/>
                  <a:ea typeface="+mn-ea"/>
                  <a:cs typeface="+mn-cs"/>
                </a:rPr>
                <a:t>2</a:t>
              </a:r>
              <a:r>
                <a:rPr lang="en-US" sz="1100" b="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L</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X</a:t>
              </a:r>
              <a:r>
                <a:rPr lang="en-US" sz="1100" b="0">
                  <a:solidFill>
                    <a:schemeClr val="tx1"/>
                  </a:solidFill>
                  <a:effectLst/>
                  <a:latin typeface="Cambria Math" panose="02040503050406030204" pitchFamily="18" charset="0"/>
                  <a:ea typeface="+mn-ea"/>
                  <a:cs typeface="+mn-cs"/>
                </a:rPr>
                <a:t>3</a:t>
              </a:r>
              <a:r>
                <a:rPr lang="en-US" sz="1100" b="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L</a:t>
              </a:r>
              <a:r>
                <a:rPr lang="en-US" sz="1100" b="0">
                  <a:solidFill>
                    <a:schemeClr val="tx1"/>
                  </a:solidFill>
                  <a:effectLst/>
                  <a:latin typeface="Cambria Math" panose="02040503050406030204" pitchFamily="18" charset="0"/>
                  <a:ea typeface="+mn-ea"/>
                  <a:cs typeface="+mn-cs"/>
                </a:rPr>
                <a:t>0</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MAX</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X</a:t>
              </a:r>
              <a:r>
                <a:rPr lang="en-US" sz="1100" b="0">
                  <a:solidFill>
                    <a:schemeClr val="tx1"/>
                  </a:solidFill>
                  <a:effectLst/>
                  <a:latin typeface="Cambria Math" panose="02040503050406030204" pitchFamily="18" charset="0"/>
                  <a:ea typeface="+mn-ea"/>
                  <a:cs typeface="+mn-cs"/>
                </a:rPr>
                <a:t>1</a:t>
              </a:r>
              <a:r>
                <a:rPr lang="en-US" sz="1100" b="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R</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X</a:t>
              </a:r>
              <a:r>
                <a:rPr lang="en-US" sz="1100" b="0">
                  <a:solidFill>
                    <a:schemeClr val="tx1"/>
                  </a:solidFill>
                  <a:effectLst/>
                  <a:latin typeface="Cambria Math" panose="02040503050406030204" pitchFamily="18" charset="0"/>
                  <a:ea typeface="+mn-ea"/>
                  <a:cs typeface="+mn-cs"/>
                </a:rPr>
                <a:t>2</a:t>
              </a:r>
              <a:r>
                <a:rPr lang="en-US" sz="1100" b="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R</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X</a:t>
              </a:r>
              <a:r>
                <a:rPr lang="en-US" sz="1100" b="0">
                  <a:solidFill>
                    <a:schemeClr val="tx1"/>
                  </a:solidFill>
                  <a:effectLst/>
                  <a:latin typeface="Cambria Math" panose="02040503050406030204" pitchFamily="18" charset="0"/>
                  <a:ea typeface="+mn-ea"/>
                  <a:cs typeface="+mn-cs"/>
                </a:rPr>
                <a:t>3</a:t>
              </a:r>
              <a:r>
                <a:rPr lang="en-US" sz="1100" b="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R</a:t>
              </a:r>
              <a:r>
                <a:rPr lang="en-US" sz="1100" b="0">
                  <a:solidFill>
                    <a:schemeClr val="tx1"/>
                  </a:solidFill>
                  <a:effectLst/>
                  <a:latin typeface="Cambria Math" panose="02040503050406030204" pitchFamily="18" charset="0"/>
                  <a:ea typeface="+mn-ea"/>
                  <a:cs typeface="+mn-cs"/>
                </a:rPr>
                <a:t>0</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 </a:t>
              </a:r>
              <a:r>
                <a:rPr lang="zh-CN" altLang="en-US" sz="1100" b="0">
                  <a:solidFill>
                    <a:schemeClr val="tx1"/>
                  </a:solidFill>
                  <a:effectLst/>
                  <a:latin typeface="Cambria Math" panose="02040503050406030204" pitchFamily="18" charset="0"/>
                  <a:ea typeface="+mn-ea"/>
                  <a:cs typeface="+mn-cs"/>
                </a:rPr>
                <a:t>调节门偏心可使井道更小</a:t>
              </a:r>
              <a:r>
                <a:rPr lang="en-US" sz="110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0</a:t>
              </a:r>
              <a:r>
                <a:rPr lang="en-US" sz="1100" b="0">
                  <a:solidFill>
                    <a:schemeClr val="tx1"/>
                  </a:solidFill>
                  <a:effectLst/>
                  <a:latin typeface="Cambria Math" panose="02040503050406030204" pitchFamily="18" charset="0"/>
                  <a:ea typeface="+mn-ea"/>
                  <a:cs typeface="+mn-cs"/>
                </a:rPr>
                <a:t>,  </a:t>
              </a:r>
              <a:r>
                <a:rPr lang="zh-CN" altLang="en-US" sz="1100" b="0">
                  <a:solidFill>
                    <a:schemeClr val="tx1"/>
                  </a:solidFill>
                  <a:effectLst/>
                  <a:latin typeface="Cambria Math" panose="02040503050406030204" pitchFamily="18" charset="0"/>
                  <a:ea typeface="+mn-ea"/>
                  <a:cs typeface="+mn-cs"/>
                </a:rPr>
                <a:t>其它</a:t>
              </a:r>
              <a:r>
                <a:rPr lang="en-US" sz="1100" b="0">
                  <a:solidFill>
                    <a:schemeClr val="tx1"/>
                  </a:solidFill>
                  <a:effectLst/>
                  <a:latin typeface="Cambria Math" panose="02040503050406030204" pitchFamily="18" charset="0"/>
                  <a:ea typeface="+mn-ea"/>
                  <a:cs typeface="+mn-cs"/>
                </a:rPr>
                <a:t>                    </a:t>
              </a:r>
              <a:r>
                <a:rPr lang="en-US" sz="1100">
                  <a:solidFill>
                    <a:schemeClr val="tx1"/>
                  </a:solidFill>
                  <a:effectLst/>
                  <a:latin typeface="Cambria Math" panose="02040503050406030204" pitchFamily="18" charset="0"/>
                  <a:ea typeface="+mn-ea"/>
                  <a:cs typeface="+mn-cs"/>
                </a:rPr>
                <a:t>)</a:t>
              </a:r>
              <a:r>
                <a:rPr lang="en-US" sz="1100">
                  <a:solidFill>
                    <a:schemeClr val="tx1"/>
                  </a:solidFill>
                  <a:effectLst/>
                  <a:latin typeface="Cambria Math" panose="02040503050406030204" pitchFamily="18" charset="0"/>
                  <a:ea typeface="+mn-ea"/>
                  <a:cs typeface="+mn-cs"/>
                </a:rPr>
                <a:t>┤</a:t>
              </a:r>
              <a:endParaRPr lang="zh-CN" altLang="en-US" sz="1100" i="0"/>
            </a:p>
          </xdr:txBody>
        </xdr:sp>
      </mc:Fallback>
    </mc:AlternateContent>
    <xdr:clientData/>
  </xdr:oneCellAnchor>
  <xdr:twoCellAnchor editAs="oneCell">
    <xdr:from>
      <xdr:col>3</xdr:col>
      <xdr:colOff>196868</xdr:colOff>
      <xdr:row>3</xdr:row>
      <xdr:rowOff>201707</xdr:rowOff>
    </xdr:from>
    <xdr:to>
      <xdr:col>6</xdr:col>
      <xdr:colOff>874058</xdr:colOff>
      <xdr:row>10</xdr:row>
      <xdr:rowOff>174853</xdr:rowOff>
    </xdr:to>
    <xdr:pic>
      <xdr:nvPicPr>
        <xdr:cNvPr id="5" name="图片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3062" t="10090" r="51649" b="27779"/>
        <a:stretch>
          <a:fillRect/>
        </a:stretch>
      </xdr:blipFill>
      <xdr:spPr>
        <a:xfrm>
          <a:off x="5287010" y="1462405"/>
          <a:ext cx="3328670" cy="3480435"/>
        </a:xfrm>
        <a:prstGeom prst="rect">
          <a:avLst/>
        </a:prstGeom>
      </xdr:spPr>
    </xdr:pic>
    <xdr:clientData/>
  </xdr:twoCellAnchor>
  <xdr:twoCellAnchor>
    <xdr:from>
      <xdr:col>0</xdr:col>
      <xdr:colOff>403411</xdr:colOff>
      <xdr:row>120</xdr:row>
      <xdr:rowOff>100853</xdr:rowOff>
    </xdr:from>
    <xdr:to>
      <xdr:col>3</xdr:col>
      <xdr:colOff>640005</xdr:colOff>
      <xdr:row>120</xdr:row>
      <xdr:rowOff>2308412</xdr:rowOff>
    </xdr:to>
    <mc:AlternateContent xmlns:mc="http://schemas.openxmlformats.org/markup-compatibility/2006" xmlns:a14="http://schemas.microsoft.com/office/drawing/2010/main">
      <mc:Choice Requires="a14">
        <xdr:sp macro="" textlink="">
          <xdr:nvSpPr>
            <xdr:cNvPr id="27" name="TextBox 19">
              <a:extLst>
                <a:ext uri="{FF2B5EF4-FFF2-40B4-BE49-F238E27FC236}">
                  <a16:creationId xmlns:a16="http://schemas.microsoft.com/office/drawing/2014/main" id="{00000000-0008-0000-0200-00001B000000}"/>
                </a:ext>
              </a:extLst>
            </xdr:cNvPr>
            <xdr:cNvSpPr txBox="1"/>
          </xdr:nvSpPr>
          <xdr:spPr>
            <a:xfrm>
              <a:off x="403225" y="41787445"/>
              <a:ext cx="5326380" cy="220789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marL="0" marR="0">
                <a:spcBef>
                  <a:spcPts val="0"/>
                </a:spcBef>
                <a:spcAft>
                  <a:spcPts val="0"/>
                </a:spcAft>
              </a:pPr>
              <a14:m>
                <m:oMathPara xmlns:m="http://schemas.openxmlformats.org/officeDocument/2006/math">
                  <m:oMathParaPr>
                    <m:jc m:val="centerGroup"/>
                  </m:oMathParaPr>
                  <m:oMath xmlns:m="http://schemas.openxmlformats.org/officeDocument/2006/math">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ML</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Evolution</m:t>
                            </m:r>
                            <m: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时：</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TRUE</m:t>
                                    </m:r>
                                    <m: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AND</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MRD</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ST</m:t>
                                                </m:r>
                                              </m:e>
                                            </m:d>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&gt;</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MAX</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sSub>
                                                          <m:sSub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Y</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1</m:t>
                                                            </m:r>
                                                          </m:e>
                                                          <m:sub>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B</m:t>
                                                            </m:r>
                                                          </m:sub>
                                                        </m:sSub>
                                                      </m:e>
                                                      <m:e>
                                                        <m:sSub>
                                                          <m:sSub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Y</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2</m:t>
                                                            </m:r>
                                                          </m:e>
                                                          <m:sub>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B</m:t>
                                                            </m:r>
                                                          </m:sub>
                                                        </m:sSub>
                                                      </m:e>
                                                    </m:eqArr>
                                                  </m:e>
                                                </m:d>
                                              </m:e>
                                            </m:d>
                                          </m:e>
                                          <m:e>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MRD</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ST</m:t>
                                                </m:r>
                                              </m:e>
                                            </m:d>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MIN</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sSub>
                                                          <m:sSub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Y</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1</m:t>
                                                            </m:r>
                                                          </m:e>
                                                          <m:sub>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F</m:t>
                                                            </m:r>
                                                          </m:sub>
                                                        </m:sSub>
                                                      </m:e>
                                                      <m:e>
                                                        <m:sSub>
                                                          <m:sSub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Y</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2</m:t>
                                                            </m:r>
                                                          </m:e>
                                                          <m:sub>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F</m:t>
                                                            </m:r>
                                                          </m:sub>
                                                        </m:sSub>
                                                      </m:e>
                                                    </m:eqArr>
                                                  </m:e>
                                                </m:d>
                                              </m:e>
                                            </m:d>
                                          </m:e>
                                        </m:eqArr>
                                      </m:e>
                                    </m:d>
                                    <m: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时</m:t>
                                    </m:r>
                                  </m:e>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FALSE</m:t>
                                    </m:r>
                                    <m: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，其它</m:t>
                                    </m:r>
                                    <m:r>
                                      <a:rPr lang="zh-CN"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时</m:t>
                                    </m:r>
                                  </m:e>
                                </m:eqArr>
                              </m:e>
                            </m:d>
                          </m:e>
                          <m:e>
                            <m:r>
                              <a:rPr lang="en-US" altLang="zh-CN"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 </m:t>
                            </m:r>
                          </m:e>
                          <m:e>
                            <m:r>
                              <m:rPr>
                                <m:sty m:val="p"/>
                              </m:rPr>
                              <a:rPr lang="en-US" altLang="zh-CN" sz="1100" b="0" i="0">
                                <a:solidFill>
                                  <a:schemeClr val="tx1"/>
                                </a:solidFill>
                                <a:effectLst/>
                                <a:latin typeface="Cambria Math" panose="02040503050406030204" pitchFamily="18" charset="0"/>
                                <a:ea typeface="+mn-ea"/>
                                <a:cs typeface="+mn-cs"/>
                              </a:rPr>
                              <m:t>EVIN</m:t>
                            </m:r>
                            <m:r>
                              <a:rPr lang="zh-CN" altLang="en-US" sz="1100">
                                <a:solidFill>
                                  <a:schemeClr val="tx1"/>
                                </a:solidFill>
                                <a:effectLst/>
                                <a:latin typeface="Cambria Math" panose="02040503050406030204" pitchFamily="18" charset="0"/>
                                <a:ea typeface="+mn-ea"/>
                                <a:cs typeface="+mn-cs"/>
                              </a:rPr>
                              <m:t>时</m:t>
                            </m:r>
                            <m: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     </m:t>
                            </m:r>
                            <m:r>
                              <m:rPr>
                                <m:sty m:val="p"/>
                              </m:rPr>
                              <a:rPr lang="en-US" sz="1100" b="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TR</m:t>
                            </m:r>
                            <m:r>
                              <a:rPr lang="en-US"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𝑈𝐸</m:t>
                            </m:r>
                            <m:r>
                              <a:rPr lang="en-US"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                                                                 </m:t>
                            </m:r>
                          </m:e>
                        </m:eqArr>
                      </m:e>
                    </m:d>
                  </m:oMath>
                </m:oMathPara>
              </a14:m>
              <a:endParaRPr lang="en-US" sz="1200">
                <a:effectLst/>
                <a:latin typeface="宋体" panose="02010600030101010101" pitchFamily="7" charset="-122"/>
                <a:ea typeface="宋体" panose="02010600030101010101" pitchFamily="7" charset="-122"/>
                <a:cs typeface="宋体" panose="02010600030101010101" pitchFamily="7" charset="-122"/>
              </a:endParaRPr>
            </a:p>
          </xdr:txBody>
        </xdr:sp>
      </mc:Choice>
      <mc:Fallback xmlns:r="http://schemas.openxmlformats.org/officeDocument/2006/relationships" xmlns="">
        <xdr:sp>
          <xdr:nvSpPr>
            <xdr:cNvPr id="27" name="TextBox 19"/>
            <xdr:cNvSpPr txBox="1"/>
          </xdr:nvSpPr>
          <xdr:spPr>
            <a:xfrm>
              <a:off x="403225" y="41787445"/>
              <a:ext cx="5326380" cy="220789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marL="0" marR="0">
                <a:spcBef>
                  <a:spcPts val="0"/>
                </a:spcBef>
                <a:spcAft>
                  <a:spcPts val="0"/>
                </a:spcAft>
              </a:pP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ML</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Evolution</a:t>
              </a:r>
              <a: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时：</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TRUE</a:t>
              </a:r>
              <a: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AND</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MRD</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ST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&gt;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MAX</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Y</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1</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B</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Y</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2</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B</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MRD</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ST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MIN</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Y</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1</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F</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Y</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2</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F</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时</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FALSE</a:t>
              </a:r>
              <a: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，其它</a:t>
              </a:r>
              <a:r>
                <a:rPr lang="zh-CN"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 </a:t>
              </a:r>
              <a: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时</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 </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altLang="zh-CN" sz="1100" b="0">
                  <a:solidFill>
                    <a:schemeClr val="tx1"/>
                  </a:solidFill>
                  <a:effectLst/>
                  <a:latin typeface="Cambria Math" panose="02040503050406030204" pitchFamily="18" charset="0"/>
                  <a:ea typeface="+mn-ea"/>
                  <a:cs typeface="+mn-cs"/>
                </a:rPr>
                <a:t>EVIN</a:t>
              </a:r>
              <a:r>
                <a:rPr lang="zh-CN" altLang="en-US" sz="1100">
                  <a:solidFill>
                    <a:schemeClr val="tx1"/>
                  </a:solidFill>
                  <a:effectLst/>
                  <a:latin typeface="Cambria Math" panose="02040503050406030204" pitchFamily="18" charset="0"/>
                  <a:ea typeface="+mn-ea"/>
                  <a:cs typeface="+mn-cs"/>
                </a:rPr>
                <a:t>时</a:t>
              </a:r>
              <a:r>
                <a:rPr lang="zh-CN"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     </a:t>
              </a:r>
              <a:r>
                <a:rPr lang="en-US"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TR</a:t>
              </a:r>
              <a:r>
                <a:rPr lang="en-US"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𝑈𝐸</a:t>
              </a:r>
              <a:r>
                <a:rPr lang="en-US"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                                                                 </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endParaRPr lang="en-US" sz="1200">
                <a:effectLst/>
                <a:latin typeface="宋体" panose="02010600030101010101" pitchFamily="7" charset="-122"/>
                <a:ea typeface="宋体" panose="02010600030101010101" pitchFamily="7" charset="-122"/>
                <a:cs typeface="宋体" panose="02010600030101010101" pitchFamily="7" charset="-122"/>
              </a:endParaRPr>
            </a:p>
          </xdr:txBody>
        </xdr:sp>
      </mc:Fallback>
    </mc:AlternateContent>
    <xdr:clientData/>
  </xdr:twoCellAnchor>
  <xdr:twoCellAnchor>
    <xdr:from>
      <xdr:col>0</xdr:col>
      <xdr:colOff>67236</xdr:colOff>
      <xdr:row>103</xdr:row>
      <xdr:rowOff>100854</xdr:rowOff>
    </xdr:from>
    <xdr:to>
      <xdr:col>5</xdr:col>
      <xdr:colOff>560295</xdr:colOff>
      <xdr:row>103</xdr:row>
      <xdr:rowOff>1438143</xdr:rowOff>
    </xdr:to>
    <mc:AlternateContent xmlns:mc="http://schemas.openxmlformats.org/markup-compatibility/2006" xmlns:a14="http://schemas.microsoft.com/office/drawing/2010/main">
      <mc:Choice Requires="a14">
        <xdr:sp macro="" textlink="">
          <xdr:nvSpPr>
            <xdr:cNvPr id="28" name="TextBox 18">
              <a:extLst>
                <a:ext uri="{FF2B5EF4-FFF2-40B4-BE49-F238E27FC236}">
                  <a16:creationId xmlns:a16="http://schemas.microsoft.com/office/drawing/2014/main" id="{00000000-0008-0000-0200-00001C000000}"/>
                </a:ext>
              </a:extLst>
            </xdr:cNvPr>
            <xdr:cNvSpPr txBox="1"/>
          </xdr:nvSpPr>
          <xdr:spPr>
            <a:xfrm>
              <a:off x="66675" y="34959925"/>
              <a:ext cx="7351395" cy="133731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marL="0" marR="0">
                <a:spcBef>
                  <a:spcPts val="0"/>
                </a:spcBef>
                <a:spcAft>
                  <a:spcPts val="0"/>
                </a:spcAft>
              </a:pPr>
              <a14:m>
                <m:oMathPara xmlns:m="http://schemas.openxmlformats.org/officeDocument/2006/math">
                  <m:oMathParaPr>
                    <m:jc m:val="centerGroup"/>
                  </m:oMathParaPr>
                  <m:oMath xmlns:m="http://schemas.openxmlformats.org/officeDocument/2006/math">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KTVM</m:t>
                    </m:r>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d>
                      <m:dPr>
                        <m:begChr m:val="{"/>
                        <m:endChr m:val=""/>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f>
                              <m:fPr>
                                <m:type m:val="noBa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fPr>
                              <m:num>
                                <m:r>
                                  <a:rPr lang="zh-CN" altLang="en-US" sz="1000" b="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值</m:t>
                                </m:r>
                                <m:r>
                                  <a:rPr lang="zh-CN" altLang="en-US" sz="1000" b="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f>
                                  <m:fPr>
                                    <m:ctrlPr>
                                      <a:rPr lang="en-US" sz="1100" i="1">
                                        <a:solidFill>
                                          <a:schemeClr val="tx1"/>
                                        </a:solidFill>
                                        <a:effectLst/>
                                        <a:latin typeface="Cambria Math" panose="02040503050406030204" pitchFamily="18" charset="0"/>
                                        <a:ea typeface="+mn-ea"/>
                                        <a:cs typeface="+mn-cs"/>
                                      </a:rPr>
                                    </m:ctrlPr>
                                  </m:fPr>
                                  <m:num>
                                    <m:r>
                                      <m:rPr>
                                        <m:sty m:val="p"/>
                                      </m:rPr>
                                      <a:rPr lang="en-US" sz="1100" i="0">
                                        <a:solidFill>
                                          <a:schemeClr val="tx1"/>
                                        </a:solidFill>
                                        <a:effectLst/>
                                        <a:latin typeface="Cambria Math" panose="02040503050406030204" pitchFamily="18" charset="0"/>
                                        <a:ea typeface="+mn-ea"/>
                                        <a:cs typeface="+mn-cs"/>
                                      </a:rPr>
                                      <m:t>CWG</m:t>
                                    </m:r>
                                  </m:num>
                                  <m:den>
                                    <m:r>
                                      <a:rPr lang="en-US" sz="1100" i="0">
                                        <a:solidFill>
                                          <a:schemeClr val="tx1"/>
                                        </a:solidFill>
                                        <a:effectLst/>
                                        <a:latin typeface="Cambria Math" panose="02040503050406030204" pitchFamily="18" charset="0"/>
                                        <a:ea typeface="+mn-ea"/>
                                        <a:cs typeface="+mn-cs"/>
                                      </a:rPr>
                                      <m:t>2</m:t>
                                    </m:r>
                                  </m:den>
                                </m:f>
                                <m:r>
                                  <a:rPr lang="en-US" sz="1100" i="0">
                                    <a:solidFill>
                                      <a:schemeClr val="tx1"/>
                                    </a:solidFill>
                                    <a:effectLst/>
                                    <a:latin typeface="Cambria Math" panose="02040503050406030204" pitchFamily="18" charset="0"/>
                                    <a:ea typeface="+mn-ea"/>
                                    <a:cs typeface="+mn-cs"/>
                                  </a:rPr>
                                  <m:t>+</m:t>
                                </m:r>
                                <m:sSub>
                                  <m:sSubPr>
                                    <m:ctrlPr>
                                      <a:rPr lang="en-US" sz="1100" i="1">
                                        <a:solidFill>
                                          <a:schemeClr val="tx1"/>
                                        </a:solidFill>
                                        <a:effectLst/>
                                        <a:latin typeface="Cambria Math" panose="02040503050406030204" pitchFamily="18" charset="0"/>
                                        <a:ea typeface="+mn-ea"/>
                                        <a:cs typeface="+mn-cs"/>
                                      </a:rPr>
                                    </m:ctrlPr>
                                  </m:sSubPr>
                                  <m:e>
                                    <m:r>
                                      <m:rPr>
                                        <m:sty m:val="p"/>
                                      </m:rPr>
                                      <a:rPr lang="en-US" sz="1100" b="0" i="0">
                                        <a:solidFill>
                                          <a:schemeClr val="tx1"/>
                                        </a:solidFill>
                                        <a:effectLst/>
                                        <a:latin typeface="Cambria Math" panose="02040503050406030204" pitchFamily="18" charset="0"/>
                                        <a:ea typeface="+mn-ea"/>
                                        <a:cs typeface="+mn-cs"/>
                                      </a:rPr>
                                      <m:t>CWGB</m:t>
                                    </m:r>
                                  </m:e>
                                  <m:sub>
                                    <m:r>
                                      <a:rPr lang="en-US" sz="1100" b="0" i="0">
                                        <a:solidFill>
                                          <a:schemeClr val="tx1"/>
                                        </a:solidFill>
                                        <a:effectLst/>
                                        <a:latin typeface="Cambria Math" panose="02040503050406030204" pitchFamily="18" charset="0"/>
                                        <a:ea typeface="+mn-ea"/>
                                        <a:cs typeface="+mn-cs"/>
                                      </a:rPr>
                                      <m:t>2</m:t>
                                    </m:r>
                                  </m:sub>
                                </m:sSub>
                                <m:r>
                                  <a:rPr lang="en-US" sz="1100" i="0">
                                    <a:solidFill>
                                      <a:schemeClr val="tx1"/>
                                    </a:solidFill>
                                    <a:effectLst/>
                                    <a:latin typeface="Cambria Math" panose="02040503050406030204" pitchFamily="18" charset="0"/>
                                    <a:ea typeface="+mn-ea"/>
                                    <a:cs typeface="+mn-cs"/>
                                  </a:rPr>
                                  <m:t>+25−</m:t>
                                </m:r>
                                <m:r>
                                  <m:rPr>
                                    <m:sty m:val="p"/>
                                  </m:rPr>
                                  <a:rPr lang="en-US" sz="1100" i="0">
                                    <a:solidFill>
                                      <a:schemeClr val="tx1"/>
                                    </a:solidFill>
                                    <a:effectLst/>
                                    <a:latin typeface="Cambria Math" panose="02040503050406030204" pitchFamily="18" charset="0"/>
                                    <a:ea typeface="+mn-ea"/>
                                    <a:cs typeface="+mn-cs"/>
                                  </a:rPr>
                                  <m:t>CWe</m:t>
                                </m:r>
                                <m:r>
                                  <a:rPr lang="en-US" sz="1100" i="0">
                                    <a:solidFill>
                                      <a:schemeClr val="tx1"/>
                                    </a:solidFill>
                                    <a:effectLst/>
                                    <a:latin typeface="Cambria Math" panose="02040503050406030204" pitchFamily="18" charset="0"/>
                                    <a:ea typeface="+mn-ea"/>
                                    <a:cs typeface="+mn-cs"/>
                                  </a:rPr>
                                  <m:t>−</m:t>
                                </m:r>
                                <m:r>
                                  <m:rPr>
                                    <m:sty m:val="p"/>
                                  </m:rPr>
                                  <a:rPr lang="en-US" sz="1100" i="0">
                                    <a:solidFill>
                                      <a:schemeClr val="tx1"/>
                                    </a:solidFill>
                                    <a:effectLst/>
                                    <a:latin typeface="Cambria Math" panose="02040503050406030204" pitchFamily="18" charset="0"/>
                                    <a:ea typeface="+mn-ea"/>
                                    <a:cs typeface="+mn-cs"/>
                                  </a:rPr>
                                  <m:t>DD</m:t>
                                </m:r>
                                <m:r>
                                  <a:rPr lang="en-US" sz="1100" i="0">
                                    <a:solidFill>
                                      <a:schemeClr val="tx1"/>
                                    </a:solidFill>
                                    <a:effectLst/>
                                    <a:latin typeface="Cambria Math" panose="02040503050406030204" pitchFamily="18" charset="0"/>
                                    <a:ea typeface="+mn-ea"/>
                                    <a:cs typeface="+mn-cs"/>
                                  </a:rPr>
                                  <m:t>−</m:t>
                                </m:r>
                                <m:sSub>
                                  <m:sSubPr>
                                    <m:ctrlPr>
                                      <a:rPr lang="en-US" sz="1100" i="1">
                                        <a:solidFill>
                                          <a:schemeClr val="tx1"/>
                                        </a:solidFill>
                                        <a:effectLst/>
                                        <a:latin typeface="Cambria Math" panose="02040503050406030204" pitchFamily="18" charset="0"/>
                                        <a:ea typeface="+mn-ea"/>
                                        <a:cs typeface="+mn-cs"/>
                                      </a:rPr>
                                    </m:ctrlPr>
                                  </m:sSubPr>
                                  <m:e>
                                    <m:r>
                                      <m:rPr>
                                        <m:sty m:val="p"/>
                                      </m:rPr>
                                      <a:rPr lang="en-US" sz="1100" i="0">
                                        <a:solidFill>
                                          <a:schemeClr val="tx1"/>
                                        </a:solidFill>
                                        <a:effectLst/>
                                        <a:latin typeface="Cambria Math" panose="02040503050406030204" pitchFamily="18" charset="0"/>
                                        <a:ea typeface="+mn-ea"/>
                                        <a:cs typeface="+mn-cs"/>
                                      </a:rPr>
                                      <m:t>KTV</m:t>
                                    </m:r>
                                  </m:e>
                                  <m:sub>
                                    <m:r>
                                      <m:rPr>
                                        <m:sty m:val="p"/>
                                      </m:rPr>
                                      <a:rPr lang="en-US" sz="1100" i="0">
                                        <a:solidFill>
                                          <a:schemeClr val="tx1"/>
                                        </a:solidFill>
                                        <a:effectLst/>
                                        <a:latin typeface="Cambria Math" panose="02040503050406030204" pitchFamily="18" charset="0"/>
                                        <a:ea typeface="+mn-ea"/>
                                        <a:cs typeface="+mn-cs"/>
                                      </a:rPr>
                                      <m:t>S</m:t>
                                    </m:r>
                                  </m:sub>
                                </m:sSub>
                              </m:num>
                              <m:den>
                                <m:eqArr>
                                  <m:eqArrPr>
                                    <m:ctrlPr>
                                      <a:rPr lang="zh-CN" altLang="en-US" sz="10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r>
                                      <a:rPr lang="zh-CN" altLang="en-US" sz="1000" b="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取</m:t>
                                    </m:r>
                                    <m:r>
                                      <a:rPr lang="zh-CN" altLang="en-US" sz="1100" b="0" i="0">
                                        <a:solidFill>
                                          <a:schemeClr val="tx1"/>
                                        </a:solidFill>
                                        <a:effectLst/>
                                        <a:latin typeface="Cambria Math" panose="02040503050406030204" pitchFamily="18" charset="0"/>
                                        <a:ea typeface="+mn-ea"/>
                                        <a:cs typeface="+mn-cs"/>
                                      </a:rPr>
                                      <m:t>值</m:t>
                                    </m:r>
                                    <m:r>
                                      <a:rPr lang="zh-CN" altLang="en-US" sz="1100" b="0" i="0">
                                        <a:solidFill>
                                          <a:schemeClr val="tx1"/>
                                        </a:solidFill>
                                        <a:effectLst/>
                                        <a:latin typeface="Cambria Math" panose="02040503050406030204" pitchFamily="18" charset="0"/>
                                        <a:ea typeface="+mn-ea"/>
                                        <a:cs typeface="+mn-cs"/>
                                      </a:rPr>
                                      <m:t>∎</m:t>
                                    </m:r>
                                    <m:r>
                                      <a:rPr lang="zh-CN" altLang="en-US" sz="1100" b="0" i="0">
                                        <a:solidFill>
                                          <a:schemeClr val="tx1"/>
                                        </a:solidFill>
                                        <a:effectLst/>
                                        <a:latin typeface="Cambria Math" panose="02040503050406030204" pitchFamily="18" charset="0"/>
                                        <a:ea typeface="+mn-ea"/>
                                        <a:cs typeface="+mn-cs"/>
                                      </a:rPr>
                                      <m:t>，当</m:t>
                                    </m:r>
                                    <m:r>
                                      <a:rPr lang="en-US" altLang="zh-CN" sz="1100" b="0" i="0">
                                        <a:solidFill>
                                          <a:schemeClr val="tx1"/>
                                        </a:solidFill>
                                        <a:effectLst/>
                                        <a:latin typeface="Cambria Math" panose="02040503050406030204" pitchFamily="18" charset="0"/>
                                        <a:ea typeface="+mn-ea"/>
                                        <a:cs typeface="+mn-cs"/>
                                      </a:rPr>
                                      <m:t>−</m:t>
                                    </m:r>
                                    <m:r>
                                      <m:rPr>
                                        <m:sty m:val="p"/>
                                      </m:rPr>
                                      <a:rPr lang="en-US" altLang="zh-CN" sz="1100" b="0" i="0">
                                        <a:solidFill>
                                          <a:schemeClr val="tx1"/>
                                        </a:solidFill>
                                        <a:effectLst/>
                                        <a:latin typeface="Cambria Math" panose="02040503050406030204" pitchFamily="18" charset="0"/>
                                        <a:ea typeface="+mn-ea"/>
                                        <a:cs typeface="+mn-cs"/>
                                      </a:rPr>
                                      <m:t>KTVx</m:t>
                                    </m:r>
                                    <m:r>
                                      <a:rPr lang="zh-CN" altLang="en-US" sz="1100" b="0" i="0">
                                        <a:solidFill>
                                          <a:schemeClr val="tx1"/>
                                        </a:solidFill>
                                        <a:effectLst/>
                                        <a:latin typeface="Cambria Math" panose="02040503050406030204" pitchFamily="18" charset="0"/>
                                        <a:ea typeface="+mn-ea"/>
                                        <a:cs typeface="+mn-cs"/>
                                      </a:rPr>
                                      <m:t>≤</m:t>
                                    </m:r>
                                    <m:r>
                                      <a:rPr lang="zh-CN" altLang="en-US" sz="1100" b="0" i="0">
                                        <a:solidFill>
                                          <a:schemeClr val="tx1"/>
                                        </a:solidFill>
                                        <a:effectLst/>
                                        <a:latin typeface="Cambria Math" panose="02040503050406030204" pitchFamily="18" charset="0"/>
                                        <a:ea typeface="+mn-ea"/>
                                        <a:cs typeface="+mn-cs"/>
                                      </a:rPr>
                                      <m:t>值</m:t>
                                    </m:r>
                                    <m:r>
                                      <a:rPr lang="zh-CN" altLang="en-US" sz="1100" b="0" i="0">
                                        <a:solidFill>
                                          <a:schemeClr val="tx1"/>
                                        </a:solidFill>
                                        <a:effectLst/>
                                        <a:latin typeface="Cambria Math" panose="02040503050406030204" pitchFamily="18" charset="0"/>
                                        <a:ea typeface="+mn-ea"/>
                                        <a:cs typeface="+mn-cs"/>
                                      </a:rPr>
                                      <m:t>∎≤</m:t>
                                    </m:r>
                                    <m:r>
                                      <m:rPr>
                                        <m:sty m:val="p"/>
                                      </m:rPr>
                                      <a:rPr lang="en-US" altLang="zh-CN" sz="1100" b="0" i="0">
                                        <a:solidFill>
                                          <a:schemeClr val="tx1"/>
                                        </a:solidFill>
                                        <a:effectLst/>
                                        <a:latin typeface="Cambria Math" panose="02040503050406030204" pitchFamily="18" charset="0"/>
                                        <a:ea typeface="+mn-ea"/>
                                        <a:cs typeface="+mn-cs"/>
                                      </a:rPr>
                                      <m:t>KTVx</m:t>
                                    </m:r>
                                  </m:e>
                                  <m:e>
                                    <m:r>
                                      <a:rPr lang="zh-CN" altLang="en-US" sz="1100" b="0" i="0">
                                        <a:solidFill>
                                          <a:schemeClr val="tx1"/>
                                        </a:solidFill>
                                        <a:effectLst/>
                                        <a:latin typeface="Cambria Math" panose="02040503050406030204" pitchFamily="18" charset="0"/>
                                        <a:ea typeface="+mn-ea"/>
                                        <a:cs typeface="+mn-cs"/>
                                      </a:rPr>
                                      <m:t>取</m:t>
                                    </m:r>
                                    <m:r>
                                      <a:rPr lang="en-US" altLang="zh-CN" sz="1100" b="0" i="0">
                                        <a:solidFill>
                                          <a:schemeClr val="tx1"/>
                                        </a:solidFill>
                                        <a:effectLst/>
                                        <a:latin typeface="Cambria Math" panose="02040503050406030204" pitchFamily="18" charset="0"/>
                                        <a:ea typeface="+mn-ea"/>
                                        <a:cs typeface="+mn-cs"/>
                                      </a:rPr>
                                      <m:t>−</m:t>
                                    </m:r>
                                    <m:r>
                                      <m:rPr>
                                        <m:sty m:val="p"/>
                                      </m:rPr>
                                      <a:rPr lang="en-US" altLang="zh-CN" sz="1100" b="0" i="0">
                                        <a:solidFill>
                                          <a:schemeClr val="tx1"/>
                                        </a:solidFill>
                                        <a:effectLst/>
                                        <a:latin typeface="Cambria Math" panose="02040503050406030204" pitchFamily="18" charset="0"/>
                                        <a:ea typeface="+mn-ea"/>
                                        <a:cs typeface="+mn-cs"/>
                                      </a:rPr>
                                      <m:t>KTVx</m:t>
                                    </m:r>
                                    <m:r>
                                      <a:rPr lang="zh-CN" altLang="en-US" sz="1100" b="0" i="0">
                                        <a:solidFill>
                                          <a:schemeClr val="tx1"/>
                                        </a:solidFill>
                                        <a:effectLst/>
                                        <a:latin typeface="Cambria Math" panose="02040503050406030204" pitchFamily="18" charset="0"/>
                                        <a:ea typeface="+mn-ea"/>
                                        <a:cs typeface="+mn-cs"/>
                                      </a:rPr>
                                      <m:t>，当值</m:t>
                                    </m:r>
                                    <m:r>
                                      <a:rPr lang="zh-CN" altLang="en-US" sz="1100" b="0" i="0">
                                        <a:solidFill>
                                          <a:schemeClr val="tx1"/>
                                        </a:solidFill>
                                        <a:effectLst/>
                                        <a:latin typeface="Cambria Math" panose="02040503050406030204" pitchFamily="18" charset="0"/>
                                        <a:ea typeface="+mn-ea"/>
                                        <a:cs typeface="+mn-cs"/>
                                      </a:rPr>
                                      <m:t>∎&lt;−</m:t>
                                    </m:r>
                                    <m:r>
                                      <m:rPr>
                                        <m:sty m:val="p"/>
                                      </m:rPr>
                                      <a:rPr lang="en-US" sz="1100" b="0" i="0">
                                        <a:solidFill>
                                          <a:schemeClr val="tx1"/>
                                        </a:solidFill>
                                        <a:effectLst/>
                                        <a:latin typeface="Cambria Math" panose="02040503050406030204" pitchFamily="18" charset="0"/>
                                        <a:ea typeface="+mn-ea"/>
                                        <a:cs typeface="+mn-cs"/>
                                      </a:rPr>
                                      <m:t>KTVx</m:t>
                                    </m:r>
                                    <m:r>
                                      <a:rPr lang="en-US" sz="1100" b="0" i="0">
                                        <a:solidFill>
                                          <a:schemeClr val="tx1"/>
                                        </a:solidFill>
                                        <a:effectLst/>
                                        <a:latin typeface="Cambria Math" panose="02040503050406030204" pitchFamily="18" charset="0"/>
                                        <a:ea typeface="+mn-ea"/>
                                        <a:cs typeface="+mn-cs"/>
                                      </a:rPr>
                                      <m:t>          </m:t>
                                    </m:r>
                                  </m:e>
                                  <m:e>
                                    <m:r>
                                      <a:rPr lang="zh-CN" altLang="en-US" sz="1100" b="0" i="0">
                                        <a:solidFill>
                                          <a:schemeClr val="tx1"/>
                                        </a:solidFill>
                                        <a:effectLst/>
                                        <a:latin typeface="Cambria Math" panose="02040503050406030204" pitchFamily="18" charset="0"/>
                                        <a:ea typeface="+mn-ea"/>
                                        <a:cs typeface="+mn-cs"/>
                                      </a:rPr>
                                      <m:t>取</m:t>
                                    </m:r>
                                    <m:r>
                                      <m:rPr>
                                        <m:sty m:val="p"/>
                                      </m:rPr>
                                      <a:rPr lang="en-US" sz="1100" b="0" i="0">
                                        <a:solidFill>
                                          <a:schemeClr val="tx1"/>
                                        </a:solidFill>
                                        <a:effectLst/>
                                        <a:latin typeface="Cambria Math" panose="02040503050406030204" pitchFamily="18" charset="0"/>
                                        <a:ea typeface="+mn-ea"/>
                                        <a:cs typeface="+mn-cs"/>
                                      </a:rPr>
                                      <m:t>KTVx</m:t>
                                    </m:r>
                                    <m:r>
                                      <a:rPr lang="zh-CN" altLang="en-US" sz="1100" b="0" i="0">
                                        <a:solidFill>
                                          <a:schemeClr val="tx1"/>
                                        </a:solidFill>
                                        <a:effectLst/>
                                        <a:latin typeface="Cambria Math" panose="02040503050406030204" pitchFamily="18" charset="0"/>
                                        <a:ea typeface="+mn-ea"/>
                                        <a:cs typeface="+mn-cs"/>
                                      </a:rPr>
                                      <m:t>，当值</m:t>
                                    </m:r>
                                    <m:r>
                                      <a:rPr lang="zh-CN" altLang="en-US" sz="1100" b="0" i="0">
                                        <a:solidFill>
                                          <a:schemeClr val="tx1"/>
                                        </a:solidFill>
                                        <a:effectLst/>
                                        <a:latin typeface="Cambria Math" panose="02040503050406030204" pitchFamily="18" charset="0"/>
                                        <a:ea typeface="+mn-ea"/>
                                        <a:cs typeface="+mn-cs"/>
                                      </a:rPr>
                                      <m:t>∎&gt;</m:t>
                                    </m:r>
                                    <m:r>
                                      <m:rPr>
                                        <m:sty m:val="p"/>
                                      </m:rPr>
                                      <a:rPr lang="en-US" sz="1100" b="0" i="0">
                                        <a:solidFill>
                                          <a:schemeClr val="tx1"/>
                                        </a:solidFill>
                                        <a:effectLst/>
                                        <a:latin typeface="Cambria Math" panose="02040503050406030204" pitchFamily="18" charset="0"/>
                                        <a:ea typeface="+mn-ea"/>
                                        <a:cs typeface="+mn-cs"/>
                                      </a:rPr>
                                      <m:t>KTVx</m:t>
                                    </m:r>
                                    <m:r>
                                      <a:rPr lang="en-US" sz="1100" b="0" i="0">
                                        <a:solidFill>
                                          <a:schemeClr val="tx1"/>
                                        </a:solidFill>
                                        <a:effectLst/>
                                        <a:latin typeface="Cambria Math" panose="02040503050406030204" pitchFamily="18" charset="0"/>
                                        <a:ea typeface="+mn-ea"/>
                                        <a:cs typeface="+mn-cs"/>
                                      </a:rPr>
                                      <m:t>                   </m:t>
                                    </m:r>
                                  </m:e>
                                </m:eqArr>
                              </m:den>
                            </m:f>
                            <m:r>
                              <a:rPr lang="zh-CN" alt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OR</m:t>
                            </m:r>
                            <m:d>
                              <m:dPr>
                                <m:begChr m:val="{"/>
                                <m:endChr m:val=""/>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AND</m:t>
                                    </m:r>
                                    <m:d>
                                      <m:dPr>
                                        <m:begChr m:val="{"/>
                                        <m:endChr m:val=""/>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r>
                                              <a:rPr lang="zh-CN" alt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对重侧置</m:t>
                                            </m:r>
                                          </m:e>
                                          <m:e>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CWe</m:t>
                                            </m:r>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f>
                                              <m:f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fPr>
                                              <m:num>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CWG</m:t>
                                                </m:r>
                                              </m:num>
                                              <m:den>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2</m:t>
                                                </m:r>
                                              </m:den>
                                            </m:f>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sSub>
                                              <m:sSub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CWGB</m:t>
                                                </m:r>
                                              </m:e>
                                              <m:sub>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2</m:t>
                                                </m:r>
                                              </m:sub>
                                            </m:sSub>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−25&lt;−</m:t>
                                            </m:r>
                                            <m:sSub>
                                              <m:sSub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KTV</m:t>
                                                </m:r>
                                              </m:e>
                                              <m:sub>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S</m:t>
                                                </m:r>
                                              </m:sub>
                                            </m:sSub>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DD</m:t>
                                            </m:r>
                                          </m:e>
                                        </m:eqArr>
                                      </m:e>
                                    </m:d>
                                  </m:e>
                                  <m:e>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AND</m:t>
                                    </m:r>
                                    <m:d>
                                      <m:dPr>
                                        <m:begChr m:val="{"/>
                                        <m:endChr m:val=""/>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r>
                                              <a:rPr lang="zh-CN" alt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贯通门</m:t>
                                            </m:r>
                                          </m:e>
                                          <m:e>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CWe</m:t>
                                            </m:r>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f>
                                              <m:f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fPr>
                                              <m:num>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CWG</m:t>
                                                </m:r>
                                              </m:num>
                                              <m:den>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2</m:t>
                                                </m:r>
                                              </m:den>
                                            </m:f>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sSub>
                                              <m:sSub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CWGB</m:t>
                                                </m:r>
                                              </m:e>
                                              <m:sub>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2</m:t>
                                                </m:r>
                                              </m:sub>
                                            </m:sSub>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+25&gt;</m:t>
                                            </m:r>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CD</m:t>
                                            </m:r>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sSub>
                                              <m:sSubPr>
                                                <m:ctrlPr>
                                                  <a:rPr lang="en-US" sz="10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KTV</m:t>
                                                </m:r>
                                              </m:e>
                                              <m:sub>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S</m:t>
                                                </m:r>
                                              </m:sub>
                                            </m:sSub>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m:rPr>
                                                <m:sty m:val="p"/>
                                              </m:rP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DD</m:t>
                                            </m:r>
                                          </m:e>
                                        </m:eqArr>
                                      </m:e>
                                    </m:d>
                                  </m:e>
                                </m:eqArr>
                              </m:e>
                            </m:d>
                            <m:r>
                              <a:rPr lang="zh-CN" alt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时</m:t>
                            </m:r>
                          </m:e>
                          <m:e>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0    </m:t>
                            </m:r>
                            <m:r>
                              <a:rPr lang="zh-CN" alt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a:rPr 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                            </m:t>
                            </m:r>
                            <m:r>
                              <a:rPr lang="zh-CN" alt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其</m:t>
                            </m:r>
                            <m:r>
                              <a:rPr lang="zh-CN" altLang="en-US" sz="10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zh-CN" alt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它</m:t>
                            </m:r>
                            <m:r>
                              <a:rPr lang="zh-CN" altLang="en-US" sz="10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zh-CN" altLang="en-US" sz="1000" i="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时</m:t>
                            </m:r>
                          </m:e>
                        </m:eqArr>
                      </m:e>
                    </m:d>
                  </m:oMath>
                </m:oMathPara>
              </a14:m>
              <a:endParaRPr lang="en-US" sz="1600" i="0">
                <a:effectLst/>
                <a:latin typeface="宋体" panose="02010600030101010101" pitchFamily="7" charset="-122"/>
                <a:ea typeface="宋体" panose="02010600030101010101" pitchFamily="7" charset="-122"/>
                <a:cs typeface="宋体" panose="02010600030101010101" pitchFamily="7" charset="-122"/>
              </a:endParaRPr>
            </a:p>
          </xdr:txBody>
        </xdr:sp>
      </mc:Choice>
      <mc:Fallback xmlns:r="http://schemas.openxmlformats.org/officeDocument/2006/relationships" xmlns="">
        <xdr:sp>
          <xdr:nvSpPr>
            <xdr:cNvPr id="28" name="TextBox 18"/>
            <xdr:cNvSpPr txBox="1"/>
          </xdr:nvSpPr>
          <xdr:spPr>
            <a:xfrm>
              <a:off x="66675" y="34959925"/>
              <a:ext cx="7351395" cy="133731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marL="0" marR="0">
                <a:spcBef>
                  <a:spcPts val="0"/>
                </a:spcBef>
                <a:spcAft>
                  <a:spcPts val="0"/>
                </a:spcAft>
              </a:pP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KTVM</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0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值∎=</a:t>
              </a:r>
              <a:r>
                <a:rPr lang="en-US" sz="1100">
                  <a:solidFill>
                    <a:schemeClr val="tx1"/>
                  </a:solidFill>
                  <a:effectLst/>
                  <a:latin typeface="Cambria Math" panose="02040503050406030204" pitchFamily="18" charset="0"/>
                  <a:ea typeface="+mn-ea"/>
                  <a:cs typeface="+mn-cs"/>
                </a:rPr>
                <a:t>CWG</a:t>
              </a:r>
              <a:r>
                <a:rPr lang="en-US" sz="1100">
                  <a:solidFill>
                    <a:schemeClr val="tx1"/>
                  </a:solidFill>
                  <a:effectLst/>
                  <a:latin typeface="Cambria Math" panose="02040503050406030204" pitchFamily="18" charset="0"/>
                  <a:ea typeface="+mn-ea"/>
                  <a:cs typeface="+mn-cs"/>
                </a:rPr>
                <a:t>/</a:t>
              </a:r>
              <a:r>
                <a:rPr lang="en-US" sz="1100">
                  <a:solidFill>
                    <a:schemeClr val="tx1"/>
                  </a:solidFill>
                  <a:effectLst/>
                  <a:latin typeface="Cambria Math" panose="02040503050406030204" pitchFamily="18" charset="0"/>
                  <a:ea typeface="+mn-ea"/>
                  <a:cs typeface="+mn-cs"/>
                </a:rPr>
                <a:t>2</a:t>
              </a:r>
              <a:r>
                <a:rPr lang="en-US" sz="1100">
                  <a:solidFill>
                    <a:schemeClr val="tx1"/>
                  </a:solidFill>
                  <a:effectLst/>
                  <a:latin typeface="Cambria Math" panose="02040503050406030204" pitchFamily="18" charset="0"/>
                  <a:ea typeface="+mn-ea"/>
                  <a:cs typeface="+mn-cs"/>
                </a:rPr>
                <a:t>+</a:t>
              </a:r>
              <a:r>
                <a:rPr lang="en-US" sz="1100" b="0">
                  <a:solidFill>
                    <a:schemeClr val="tx1"/>
                  </a:solidFill>
                  <a:effectLst/>
                  <a:latin typeface="Cambria Math" panose="02040503050406030204" pitchFamily="18" charset="0"/>
                  <a:ea typeface="+mn-ea"/>
                  <a:cs typeface="+mn-cs"/>
                </a:rPr>
                <a:t>CWGB</a:t>
              </a:r>
              <a:r>
                <a:rPr lang="en-US" sz="1100">
                  <a:solidFill>
                    <a:schemeClr val="tx1"/>
                  </a:solidFill>
                  <a:effectLst/>
                  <a:latin typeface="Cambria Math" panose="02040503050406030204" pitchFamily="18" charset="0"/>
                  <a:ea typeface="+mn-ea"/>
                  <a:cs typeface="+mn-cs"/>
                </a:rPr>
                <a:t>_</a:t>
              </a:r>
              <a:r>
                <a:rPr lang="en-US" sz="1100" b="0">
                  <a:solidFill>
                    <a:schemeClr val="tx1"/>
                  </a:solidFill>
                  <a:effectLst/>
                  <a:latin typeface="Cambria Math" panose="02040503050406030204" pitchFamily="18" charset="0"/>
                  <a:ea typeface="+mn-ea"/>
                  <a:cs typeface="+mn-cs"/>
                </a:rPr>
                <a:t>2</a:t>
              </a:r>
              <a:r>
                <a:rPr lang="en-US" sz="1100">
                  <a:solidFill>
                    <a:schemeClr val="tx1"/>
                  </a:solidFill>
                  <a:effectLst/>
                  <a:latin typeface="Cambria Math" panose="02040503050406030204" pitchFamily="18" charset="0"/>
                  <a:ea typeface="+mn-ea"/>
                  <a:cs typeface="+mn-cs"/>
                </a:rPr>
                <a:t>+</a:t>
              </a:r>
              <a:r>
                <a:rPr lang="en-US" sz="1100">
                  <a:solidFill>
                    <a:schemeClr val="tx1"/>
                  </a:solidFill>
                  <a:effectLst/>
                  <a:latin typeface="Cambria Math" panose="02040503050406030204" pitchFamily="18" charset="0"/>
                  <a:ea typeface="+mn-ea"/>
                  <a:cs typeface="+mn-cs"/>
                </a:rPr>
                <a:t>25</a:t>
              </a:r>
              <a:r>
                <a:rPr lang="en-US" sz="1100">
                  <a:solidFill>
                    <a:schemeClr val="tx1"/>
                  </a:solidFill>
                  <a:effectLst/>
                  <a:latin typeface="Cambria Math" panose="02040503050406030204" pitchFamily="18" charset="0"/>
                  <a:ea typeface="+mn-ea"/>
                  <a:cs typeface="+mn-cs"/>
                </a:rPr>
                <a:t>−</a:t>
              </a:r>
              <a:r>
                <a:rPr lang="en-US" sz="1100">
                  <a:solidFill>
                    <a:schemeClr val="tx1"/>
                  </a:solidFill>
                  <a:effectLst/>
                  <a:latin typeface="Cambria Math" panose="02040503050406030204" pitchFamily="18" charset="0"/>
                  <a:ea typeface="+mn-ea"/>
                  <a:cs typeface="+mn-cs"/>
                </a:rPr>
                <a:t>CWe</a:t>
              </a:r>
              <a:r>
                <a:rPr lang="en-US" sz="1100">
                  <a:solidFill>
                    <a:schemeClr val="tx1"/>
                  </a:solidFill>
                  <a:effectLst/>
                  <a:latin typeface="Cambria Math" panose="02040503050406030204" pitchFamily="18" charset="0"/>
                  <a:ea typeface="+mn-ea"/>
                  <a:cs typeface="+mn-cs"/>
                </a:rPr>
                <a:t>−</a:t>
              </a:r>
              <a:r>
                <a:rPr lang="en-US" sz="1100">
                  <a:solidFill>
                    <a:schemeClr val="tx1"/>
                  </a:solidFill>
                  <a:effectLst/>
                  <a:latin typeface="Cambria Math" panose="02040503050406030204" pitchFamily="18" charset="0"/>
                  <a:ea typeface="+mn-ea"/>
                  <a:cs typeface="+mn-cs"/>
                </a:rPr>
                <a:t>DD</a:t>
              </a:r>
              <a:r>
                <a:rPr lang="en-US" sz="1100">
                  <a:solidFill>
                    <a:schemeClr val="tx1"/>
                  </a:solidFill>
                  <a:effectLst/>
                  <a:latin typeface="Cambria Math" panose="02040503050406030204" pitchFamily="18" charset="0"/>
                  <a:ea typeface="+mn-ea"/>
                  <a:cs typeface="+mn-cs"/>
                </a:rPr>
                <a:t>−</a:t>
              </a:r>
              <a:r>
                <a:rPr lang="en-US" sz="1100">
                  <a:solidFill>
                    <a:schemeClr val="tx1"/>
                  </a:solidFill>
                  <a:effectLst/>
                  <a:latin typeface="Cambria Math" panose="02040503050406030204" pitchFamily="18" charset="0"/>
                  <a:ea typeface="+mn-ea"/>
                  <a:cs typeface="+mn-cs"/>
                </a:rPr>
                <a:t>KTV</a:t>
              </a:r>
              <a:r>
                <a:rPr lang="en-US" sz="1100">
                  <a:solidFill>
                    <a:schemeClr val="tx1"/>
                  </a:solidFill>
                  <a:effectLst/>
                  <a:latin typeface="Cambria Math" panose="02040503050406030204" pitchFamily="18" charset="0"/>
                  <a:ea typeface="+mn-ea"/>
                  <a:cs typeface="+mn-cs"/>
                </a:rPr>
                <a:t>_</a:t>
              </a:r>
              <a:r>
                <a:rPr lang="en-US" sz="1100">
                  <a:solidFill>
                    <a:schemeClr val="tx1"/>
                  </a:solidFill>
                  <a:effectLst/>
                  <a:latin typeface="Cambria Math" panose="02040503050406030204" pitchFamily="18" charset="0"/>
                  <a:ea typeface="+mn-ea"/>
                  <a:cs typeface="+mn-cs"/>
                </a:rPr>
                <a:t>S</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0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0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取</a:t>
              </a:r>
              <a:r>
                <a:rPr lang="zh-CN" altLang="en-US" sz="1100" b="0">
                  <a:solidFill>
                    <a:schemeClr val="tx1"/>
                  </a:solidFill>
                  <a:effectLst/>
                  <a:latin typeface="Cambria Math" panose="02040503050406030204" pitchFamily="18" charset="0"/>
                  <a:ea typeface="+mn-ea"/>
                  <a:cs typeface="+mn-cs"/>
                </a:rPr>
                <a:t>值∎，当</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KTVx</a:t>
              </a:r>
              <a:r>
                <a:rPr lang="zh-CN" altLang="en-US" sz="1100" b="0">
                  <a:solidFill>
                    <a:schemeClr val="tx1"/>
                  </a:solidFill>
                  <a:effectLst/>
                  <a:latin typeface="Cambria Math" panose="02040503050406030204" pitchFamily="18" charset="0"/>
                  <a:ea typeface="+mn-ea"/>
                  <a:cs typeface="+mn-cs"/>
                </a:rPr>
                <a:t>≤值∎≤</a:t>
              </a:r>
              <a:r>
                <a:rPr lang="en-US" altLang="zh-CN" sz="1100" b="0">
                  <a:solidFill>
                    <a:schemeClr val="tx1"/>
                  </a:solidFill>
                  <a:effectLst/>
                  <a:latin typeface="Cambria Math" panose="02040503050406030204" pitchFamily="18" charset="0"/>
                  <a:ea typeface="+mn-ea"/>
                  <a:cs typeface="+mn-cs"/>
                </a:rPr>
                <a:t>KTVx</a:t>
              </a:r>
              <a:r>
                <a:rPr lang="zh-CN" altLang="en-US" sz="10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100" b="0">
                  <a:solidFill>
                    <a:schemeClr val="tx1"/>
                  </a:solidFill>
                  <a:effectLst/>
                  <a:latin typeface="Cambria Math" panose="02040503050406030204" pitchFamily="18" charset="0"/>
                  <a:ea typeface="+mn-ea"/>
                  <a:cs typeface="+mn-cs"/>
                </a:rPr>
                <a:t>取</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KTVx</a:t>
              </a:r>
              <a:r>
                <a:rPr lang="zh-CN" altLang="en-US" sz="1100" b="0">
                  <a:solidFill>
                    <a:schemeClr val="tx1"/>
                  </a:solidFill>
                  <a:effectLst/>
                  <a:latin typeface="Cambria Math" panose="02040503050406030204" pitchFamily="18" charset="0"/>
                  <a:ea typeface="+mn-ea"/>
                  <a:cs typeface="+mn-cs"/>
                </a:rPr>
                <a:t>，当值∎&lt;−</a:t>
              </a:r>
              <a:r>
                <a:rPr lang="en-US" sz="1100" b="0">
                  <a:solidFill>
                    <a:schemeClr val="tx1"/>
                  </a:solidFill>
                  <a:effectLst/>
                  <a:latin typeface="Cambria Math" panose="02040503050406030204" pitchFamily="18" charset="0"/>
                  <a:ea typeface="+mn-ea"/>
                  <a:cs typeface="+mn-cs"/>
                </a:rPr>
                <a:t>KTVx</a:t>
              </a:r>
              <a:r>
                <a:rPr lang="en-US" sz="1100" b="0">
                  <a:solidFill>
                    <a:schemeClr val="tx1"/>
                  </a:solidFill>
                  <a:effectLst/>
                  <a:latin typeface="Cambria Math" panose="02040503050406030204" pitchFamily="18" charset="0"/>
                  <a:ea typeface="+mn-ea"/>
                  <a:cs typeface="+mn-cs"/>
                </a:rPr>
                <a:t>          </a:t>
              </a:r>
              <a:r>
                <a:rPr lang="zh-CN" altLang="en-US" sz="10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100" b="0">
                  <a:solidFill>
                    <a:schemeClr val="tx1"/>
                  </a:solidFill>
                  <a:effectLst/>
                  <a:latin typeface="Cambria Math" panose="02040503050406030204" pitchFamily="18" charset="0"/>
                  <a:ea typeface="+mn-ea"/>
                  <a:cs typeface="+mn-cs"/>
                </a:rPr>
                <a:t>取</a:t>
              </a:r>
              <a:r>
                <a:rPr lang="en-US" sz="1100" b="0">
                  <a:solidFill>
                    <a:schemeClr val="tx1"/>
                  </a:solidFill>
                  <a:effectLst/>
                  <a:latin typeface="Cambria Math" panose="02040503050406030204" pitchFamily="18" charset="0"/>
                  <a:ea typeface="+mn-ea"/>
                  <a:cs typeface="+mn-cs"/>
                </a:rPr>
                <a:t>KTVx</a:t>
              </a:r>
              <a:r>
                <a:rPr lang="zh-CN" altLang="en-US" sz="1100" b="0">
                  <a:solidFill>
                    <a:schemeClr val="tx1"/>
                  </a:solidFill>
                  <a:effectLst/>
                  <a:latin typeface="Cambria Math" panose="02040503050406030204" pitchFamily="18" charset="0"/>
                  <a:ea typeface="+mn-ea"/>
                  <a:cs typeface="+mn-cs"/>
                </a:rPr>
                <a:t>，当值∎&gt;</a:t>
              </a:r>
              <a:r>
                <a:rPr lang="en-US" sz="1100" b="0">
                  <a:solidFill>
                    <a:schemeClr val="tx1"/>
                  </a:solidFill>
                  <a:effectLst/>
                  <a:latin typeface="Cambria Math" panose="02040503050406030204" pitchFamily="18" charset="0"/>
                  <a:ea typeface="+mn-ea"/>
                  <a:cs typeface="+mn-cs"/>
                </a:rPr>
                <a:t>KTVx</a:t>
              </a:r>
              <a:r>
                <a:rPr lang="en-US" sz="1100" b="0">
                  <a:solidFill>
                    <a:schemeClr val="tx1"/>
                  </a:solidFill>
                  <a:effectLst/>
                  <a:latin typeface="Cambria Math" panose="02040503050406030204" pitchFamily="18" charset="0"/>
                  <a:ea typeface="+mn-ea"/>
                  <a:cs typeface="+mn-cs"/>
                </a:rPr>
                <a:t>                   </a:t>
              </a:r>
              <a:r>
                <a:rPr lang="zh-CN" altLang="en-US" sz="10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OR</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AND</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对重侧置</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CWe</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CWG</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2</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CWGB</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2</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25</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&lt;−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KTV</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S</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DD</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AND</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贯通门</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CWe</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CWG</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2</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CWGB</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2</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25</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&gt;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CD</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KTV</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S</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DD</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时</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0</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    </a:t>
              </a:r>
              <a:r>
                <a:rPr lang="zh-CN" alt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                            </a:t>
              </a:r>
              <a:r>
                <a:rPr lang="zh-CN" alt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其</a:t>
              </a:r>
              <a:r>
                <a:rPr lang="zh-CN" altLang="en-US" sz="10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 </a:t>
              </a:r>
              <a:r>
                <a:rPr lang="zh-CN" alt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它</a:t>
              </a:r>
              <a:r>
                <a:rPr lang="zh-CN" altLang="en-US" sz="10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 </a:t>
              </a:r>
              <a:r>
                <a:rPr lang="zh-CN" alt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时</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0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endParaRPr lang="en-US" sz="1600" i="0">
                <a:effectLst/>
                <a:latin typeface="宋体" panose="02010600030101010101" pitchFamily="7" charset="-122"/>
                <a:ea typeface="宋体" panose="02010600030101010101" pitchFamily="7" charset="-122"/>
                <a:cs typeface="宋体" panose="02010600030101010101" pitchFamily="7" charset="-122"/>
              </a:endParaRPr>
            </a:p>
          </xdr:txBody>
        </xdr:sp>
      </mc:Fallback>
    </mc:AlternateContent>
    <xdr:clientData/>
  </xdr:twoCellAnchor>
  <xdr:twoCellAnchor>
    <xdr:from>
      <xdr:col>2</xdr:col>
      <xdr:colOff>56029</xdr:colOff>
      <xdr:row>105</xdr:row>
      <xdr:rowOff>67235</xdr:rowOff>
    </xdr:from>
    <xdr:to>
      <xdr:col>5</xdr:col>
      <xdr:colOff>420295</xdr:colOff>
      <xdr:row>105</xdr:row>
      <xdr:rowOff>322505</xdr:rowOff>
    </xdr:to>
    <mc:AlternateContent xmlns:mc="http://schemas.openxmlformats.org/markup-compatibility/2006" xmlns:a14="http://schemas.microsoft.com/office/drawing/2010/main">
      <mc:Choice Requires="a14">
        <xdr:sp macro="" textlink="">
          <xdr:nvSpPr>
            <xdr:cNvPr id="29" name="TextBox 13">
              <a:extLst>
                <a:ext uri="{FF2B5EF4-FFF2-40B4-BE49-F238E27FC236}">
                  <a16:creationId xmlns:a16="http://schemas.microsoft.com/office/drawing/2014/main" id="{00000000-0008-0000-0200-00001D000000}"/>
                </a:ext>
              </a:extLst>
            </xdr:cNvPr>
            <xdr:cNvSpPr txBox="1"/>
          </xdr:nvSpPr>
          <xdr:spPr>
            <a:xfrm>
              <a:off x="4262120" y="36648390"/>
              <a:ext cx="3015615" cy="2552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marL="0" marR="0">
                <a:spcBef>
                  <a:spcPts val="0"/>
                </a:spcBef>
                <a:spcAft>
                  <a:spcPts val="0"/>
                </a:spcAft>
              </a:pPr>
              <a14:m>
                <m:oMathPara xmlns:m="http://schemas.openxmlformats.org/officeDocument/2006/math">
                  <m:oMathParaPr>
                    <m:jc m:val="centerGroup"/>
                  </m:oMathParaPr>
                  <m:oMath xmlns:m="http://schemas.openxmlformats.org/officeDocument/2006/math">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KTV</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sSub>
                      <m:sSubPr>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sSubPr>
                      <m:e>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KTV</m:t>
                        </m:r>
                      </m:e>
                      <m:sub>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S</m:t>
                        </m:r>
                      </m:sub>
                    </m:sSub>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KTVM</m:t>
                    </m:r>
                  </m:oMath>
                </m:oMathPara>
              </a14:m>
              <a:endParaRPr lang="en-US" sz="1200">
                <a:effectLst/>
                <a:latin typeface="宋体" panose="02010600030101010101" pitchFamily="7" charset="-122"/>
                <a:ea typeface="宋体" panose="02010600030101010101" pitchFamily="7" charset="-122"/>
                <a:cs typeface="宋体" panose="02010600030101010101" pitchFamily="7" charset="-122"/>
              </a:endParaRPr>
            </a:p>
          </xdr:txBody>
        </xdr:sp>
      </mc:Choice>
      <mc:Fallback xmlns:r="http://schemas.openxmlformats.org/officeDocument/2006/relationships" xmlns="">
        <xdr:sp>
          <xdr:nvSpPr>
            <xdr:cNvPr id="29" name="TextBox 13"/>
            <xdr:cNvSpPr txBox="1"/>
          </xdr:nvSpPr>
          <xdr:spPr>
            <a:xfrm>
              <a:off x="4262120" y="36648390"/>
              <a:ext cx="3015615" cy="2552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marL="0" marR="0">
                <a:spcBef>
                  <a:spcPts val="0"/>
                </a:spcBef>
                <a:spcAft>
                  <a:spcPts val="0"/>
                </a:spcAft>
              </a:pP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KTV</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KTV</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_</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S</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KTVM</a:t>
              </a:r>
              <a:endParaRPr lang="en-US" sz="1200">
                <a:effectLst/>
                <a:latin typeface="宋体" panose="02010600030101010101" pitchFamily="7" charset="-122"/>
                <a:ea typeface="宋体" panose="02010600030101010101" pitchFamily="7" charset="-122"/>
                <a:cs typeface="宋体" panose="02010600030101010101" pitchFamily="7" charset="-122"/>
              </a:endParaRPr>
            </a:p>
          </xdr:txBody>
        </xdr:sp>
      </mc:Fallback>
    </mc:AlternateContent>
    <xdr:clientData/>
  </xdr:twoCellAnchor>
  <xdr:twoCellAnchor>
    <xdr:from>
      <xdr:col>0</xdr:col>
      <xdr:colOff>206188</xdr:colOff>
      <xdr:row>80</xdr:row>
      <xdr:rowOff>62755</xdr:rowOff>
    </xdr:from>
    <xdr:to>
      <xdr:col>1</xdr:col>
      <xdr:colOff>71718</xdr:colOff>
      <xdr:row>80</xdr:row>
      <xdr:rowOff>532692</xdr:rowOff>
    </xdr:to>
    <mc:AlternateContent xmlns:mc="http://schemas.openxmlformats.org/markup-compatibility/2006" xmlns:a14="http://schemas.microsoft.com/office/drawing/2010/main">
      <mc:Choice Requires="a14">
        <xdr:sp macro="" textlink="">
          <xdr:nvSpPr>
            <xdr:cNvPr id="25" name="TextBox 23">
              <a:extLst>
                <a:ext uri="{FF2B5EF4-FFF2-40B4-BE49-F238E27FC236}">
                  <a16:creationId xmlns:a16="http://schemas.microsoft.com/office/drawing/2014/main" id="{00000000-0008-0000-0200-000019000000}"/>
                </a:ext>
              </a:extLst>
            </xdr:cNvPr>
            <xdr:cNvSpPr txBox="1"/>
          </xdr:nvSpPr>
          <xdr:spPr>
            <a:xfrm>
              <a:off x="205740" y="27147520"/>
              <a:ext cx="3187700" cy="46990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marL="0" marR="0">
                <a:spcBef>
                  <a:spcPts val="0"/>
                </a:spcBef>
                <a:spcAft>
                  <a:spcPts val="0"/>
                </a:spcAft>
              </a:pPr>
              <a14:m>
                <m:oMathPara xmlns:m="http://schemas.openxmlformats.org/officeDocument/2006/math">
                  <m:oMathParaPr>
                    <m:jc m:val="centerGroup"/>
                  </m:oMathParaPr>
                  <m:oMath xmlns:m="http://schemas.openxmlformats.org/officeDocument/2006/math">
                    <m:r>
                      <m:rPr>
                        <m:sty m:val="p"/>
                      </m:rP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De</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altLang="zh-CN"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r>
                              <a:rPr lang="zh-CN" altLang="en-US" sz="1100" i="1">
                                <a:solidFill>
                                  <a:schemeClr val="tx1"/>
                                </a:solidFill>
                                <a:effectLst/>
                                <a:latin typeface="Cambria Math" panose="02040503050406030204" pitchFamily="18" charset="0"/>
                                <a:ea typeface="+mn-ea"/>
                                <a:cs typeface="+mn-cs"/>
                              </a:rPr>
                              <m:t>允许偏心：</m:t>
                            </m:r>
                            <m:r>
                              <a:rPr lang="en-US" altLang="zh-CN" sz="1100" b="0" i="1">
                                <a:solidFill>
                                  <a:schemeClr val="tx1"/>
                                </a:solidFill>
                                <a:effectLst/>
                                <a:latin typeface="Cambria Math" panose="02040503050406030204" pitchFamily="18" charset="0"/>
                                <a:ea typeface="+mn-ea"/>
                                <a:cs typeface="+mn-cs"/>
                              </a:rPr>
                              <m:t>𝐷</m:t>
                            </m:r>
                            <m:r>
                              <m:rPr>
                                <m:sty m:val="p"/>
                              </m:rPr>
                              <a:rPr lang="en-US" altLang="zh-CN" sz="1100" b="0" i="1">
                                <a:solidFill>
                                  <a:schemeClr val="tx1"/>
                                </a:solidFill>
                                <a:effectLst/>
                                <a:latin typeface="Cambria Math" panose="02040503050406030204" pitchFamily="18" charset="0"/>
                                <a:ea typeface="+mn-ea"/>
                                <a:cs typeface="+mn-cs"/>
                              </a:rPr>
                              <m:t>e</m:t>
                            </m:r>
                            <m:r>
                              <a:rPr lang="en-US" altLang="zh-CN" sz="1100" b="0" i="1">
                                <a:solidFill>
                                  <a:schemeClr val="tx1"/>
                                </a:solidFill>
                                <a:effectLst/>
                                <a:latin typeface="Cambria Math" panose="02040503050406030204" pitchFamily="18" charset="0"/>
                                <a:ea typeface="+mn-ea"/>
                                <a:cs typeface="+mn-cs"/>
                              </a:rPr>
                              <m:t>0                                     </m:t>
                            </m:r>
                          </m:e>
                          <m:e>
                            <m:r>
                              <a:rPr lang="zh-CN" altLang="en-US" sz="1100" i="1">
                                <a:solidFill>
                                  <a:schemeClr val="tx1"/>
                                </a:solidFill>
                                <a:effectLst/>
                                <a:latin typeface="Cambria Math" panose="02040503050406030204" pitchFamily="18" charset="0"/>
                                <a:ea typeface="+mn-ea"/>
                                <a:cs typeface="+mn-cs"/>
                              </a:rPr>
                              <m:t>按输入值：</m:t>
                            </m:r>
                            <m:r>
                              <a:rPr lang="en-US" altLang="zh-CN" sz="1100" b="0" i="1">
                                <a:solidFill>
                                  <a:schemeClr val="tx1"/>
                                </a:solidFill>
                                <a:effectLst/>
                                <a:latin typeface="Cambria Math" panose="02040503050406030204" pitchFamily="18" charset="0"/>
                                <a:ea typeface="+mn-ea"/>
                                <a:cs typeface="+mn-cs"/>
                              </a:rPr>
                              <m:t>   </m:t>
                            </m:r>
                            <m:r>
                              <a:rPr lang="en-US" altLang="zh-CN" sz="1100" b="0" i="1">
                                <a:solidFill>
                                  <a:schemeClr val="tx1"/>
                                </a:solidFill>
                                <a:effectLst/>
                                <a:latin typeface="Cambria Math" panose="02040503050406030204" pitchFamily="18" charset="0"/>
                                <a:ea typeface="+mn-ea"/>
                                <a:cs typeface="+mn-cs"/>
                              </a:rPr>
                              <m:t>𝐷</m:t>
                            </m:r>
                            <m:r>
                              <m:rPr>
                                <m:sty m:val="p"/>
                              </m:rPr>
                              <a:rPr lang="en-US" altLang="zh-CN" sz="1100" b="0" i="1">
                                <a:solidFill>
                                  <a:schemeClr val="tx1"/>
                                </a:solidFill>
                                <a:effectLst/>
                                <a:latin typeface="Cambria Math" panose="02040503050406030204" pitchFamily="18" charset="0"/>
                                <a:ea typeface="+mn-ea"/>
                                <a:cs typeface="+mn-cs"/>
                              </a:rPr>
                              <m:t>e</m:t>
                            </m:r>
                            <m:r>
                              <a:rPr lang="en-US" altLang="zh-CN" sz="1100" b="0" i="1">
                                <a:solidFill>
                                  <a:schemeClr val="tx1"/>
                                </a:solidFill>
                                <a:effectLst/>
                                <a:latin typeface="Cambria Math" panose="02040503050406030204" pitchFamily="18" charset="0"/>
                                <a:ea typeface="+mn-ea"/>
                                <a:cs typeface="+mn-cs"/>
                              </a:rPr>
                              <m:t>𝑅</m:t>
                            </m:r>
                            <m:r>
                              <a:rPr lang="en-US" altLang="zh-CN" sz="1100" b="0" i="1">
                                <a:solidFill>
                                  <a:schemeClr val="tx1"/>
                                </a:solidFill>
                                <a:effectLst/>
                                <a:latin typeface="Cambria Math" panose="02040503050406030204" pitchFamily="18" charset="0"/>
                                <a:ea typeface="+mn-ea"/>
                                <a:cs typeface="+mn-cs"/>
                              </a:rPr>
                              <m:t> </m:t>
                            </m:r>
                            <m:d>
                              <m:dPr>
                                <m:ctrlPr>
                                  <a:rPr lang="en-US" altLang="zh-CN" sz="1100" b="0" i="1">
                                    <a:solidFill>
                                      <a:schemeClr val="tx1"/>
                                    </a:solidFill>
                                    <a:effectLst/>
                                    <a:latin typeface="Cambria Math" panose="02040503050406030204" pitchFamily="18" charset="0"/>
                                    <a:ea typeface="+mn-ea"/>
                                    <a:cs typeface="+mn-cs"/>
                                  </a:rPr>
                                </m:ctrlPr>
                              </m:dPr>
                              <m:e>
                                <m:r>
                                  <a:rPr lang="zh-CN" altLang="en-US" sz="1100" b="0" i="1">
                                    <a:solidFill>
                                      <a:schemeClr val="tx1"/>
                                    </a:solidFill>
                                    <a:effectLst/>
                                    <a:latin typeface="Cambria Math" panose="02040503050406030204" pitchFamily="18" charset="0"/>
                                    <a:ea typeface="+mn-ea"/>
                                    <a:cs typeface="+mn-cs"/>
                                  </a:rPr>
                                  <m:t>包括居中则为</m:t>
                                </m:r>
                                <m:r>
                                  <a:rPr lang="en-US" altLang="zh-CN" sz="1100" b="0" i="1">
                                    <a:solidFill>
                                      <a:schemeClr val="tx1"/>
                                    </a:solidFill>
                                    <a:effectLst/>
                                    <a:latin typeface="Cambria Math" panose="02040503050406030204" pitchFamily="18" charset="0"/>
                                    <a:ea typeface="+mn-ea"/>
                                    <a:cs typeface="+mn-cs"/>
                                  </a:rPr>
                                  <m:t>0</m:t>
                                </m:r>
                              </m:e>
                            </m:d>
                          </m:e>
                        </m:eqArr>
                      </m:e>
                    </m:d>
                  </m:oMath>
                </m:oMathPara>
              </a14:m>
              <a:endParaRPr lang="en-US" sz="1200">
                <a:effectLst/>
                <a:latin typeface="宋体" panose="02010600030101010101" pitchFamily="7" charset="-122"/>
                <a:ea typeface="宋体" panose="02010600030101010101" pitchFamily="7" charset="-122"/>
                <a:cs typeface="宋体" panose="02010600030101010101" pitchFamily="7" charset="-122"/>
              </a:endParaRPr>
            </a:p>
          </xdr:txBody>
        </xdr:sp>
      </mc:Choice>
      <mc:Fallback xmlns:r="http://schemas.openxmlformats.org/officeDocument/2006/relationships" xmlns="">
        <xdr:sp>
          <xdr:nvSpPr>
            <xdr:cNvPr id="25" name="TextBox 23"/>
            <xdr:cNvSpPr txBox="1"/>
          </xdr:nvSpPr>
          <xdr:spPr>
            <a:xfrm>
              <a:off x="205740" y="27147520"/>
              <a:ext cx="3187700" cy="46990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marL="0" marR="0">
                <a:spcBef>
                  <a:spcPts val="0"/>
                </a:spcBef>
                <a:spcAft>
                  <a:spcPts val="0"/>
                </a:spcAft>
              </a:pP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De</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100">
                  <a:solidFill>
                    <a:schemeClr val="tx1"/>
                  </a:solidFill>
                  <a:effectLst/>
                  <a:latin typeface="Cambria Math" panose="02040503050406030204" pitchFamily="18" charset="0"/>
                  <a:ea typeface="+mn-ea"/>
                  <a:cs typeface="+mn-cs"/>
                </a:rPr>
                <a:t>允许偏心：</a:t>
              </a:r>
              <a:r>
                <a:rPr lang="en-US" altLang="zh-CN" sz="1100" b="0">
                  <a:solidFill>
                    <a:schemeClr val="tx1"/>
                  </a:solidFill>
                  <a:effectLst/>
                  <a:latin typeface="Cambria Math" panose="02040503050406030204" pitchFamily="18" charset="0"/>
                  <a:ea typeface="+mn-ea"/>
                  <a:cs typeface="+mn-cs"/>
                </a:rPr>
                <a:t>𝐷</a:t>
              </a:r>
              <a:r>
                <a:rPr lang="en-US" altLang="zh-CN" sz="1100" b="0">
                  <a:solidFill>
                    <a:schemeClr val="tx1"/>
                  </a:solidFill>
                  <a:effectLst/>
                  <a:latin typeface="Cambria Math" panose="02040503050406030204" pitchFamily="18" charset="0"/>
                  <a:ea typeface="+mn-ea"/>
                  <a:cs typeface="+mn-cs"/>
                </a:rPr>
                <a:t>e</a:t>
              </a:r>
              <a:r>
                <a:rPr lang="en-US" altLang="zh-CN" sz="1100" b="0">
                  <a:solidFill>
                    <a:schemeClr val="tx1"/>
                  </a:solidFill>
                  <a:effectLst/>
                  <a:latin typeface="Cambria Math" panose="02040503050406030204" pitchFamily="18" charset="0"/>
                  <a:ea typeface="+mn-ea"/>
                  <a:cs typeface="+mn-cs"/>
                </a:rPr>
                <a:t>0</a:t>
              </a:r>
              <a:r>
                <a:rPr lang="en-US" altLang="zh-CN" sz="1100" b="0">
                  <a:solidFill>
                    <a:schemeClr val="tx1"/>
                  </a:solidFill>
                  <a:effectLst/>
                  <a:latin typeface="Cambria Math" panose="02040503050406030204" pitchFamily="18" charset="0"/>
                  <a:ea typeface="+mn-ea"/>
                  <a:cs typeface="+mn-cs"/>
                </a:rPr>
                <a:t>                                     </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100">
                  <a:solidFill>
                    <a:schemeClr val="tx1"/>
                  </a:solidFill>
                  <a:effectLst/>
                  <a:latin typeface="Cambria Math" panose="02040503050406030204" pitchFamily="18" charset="0"/>
                  <a:ea typeface="+mn-ea"/>
                  <a:cs typeface="+mn-cs"/>
                </a:rPr>
                <a:t>按输入值：</a:t>
              </a:r>
              <a:r>
                <a:rPr lang="en-US" altLang="zh-CN" sz="1100" b="0">
                  <a:solidFill>
                    <a:schemeClr val="tx1"/>
                  </a:solidFill>
                  <a:effectLst/>
                  <a:latin typeface="Cambria Math" panose="02040503050406030204" pitchFamily="18" charset="0"/>
                  <a:ea typeface="+mn-ea"/>
                  <a:cs typeface="+mn-cs"/>
                </a:rPr>
                <a:t>   </a:t>
              </a:r>
              <a:r>
                <a:rPr lang="en-US" altLang="zh-CN" sz="1100" b="0">
                  <a:solidFill>
                    <a:schemeClr val="tx1"/>
                  </a:solidFill>
                  <a:effectLst/>
                  <a:latin typeface="Cambria Math" panose="02040503050406030204" pitchFamily="18" charset="0"/>
                  <a:ea typeface="+mn-ea"/>
                  <a:cs typeface="+mn-cs"/>
                </a:rPr>
                <a:t>𝐷</a:t>
              </a:r>
              <a:r>
                <a:rPr lang="en-US" altLang="zh-CN" sz="1100" b="0">
                  <a:solidFill>
                    <a:schemeClr val="tx1"/>
                  </a:solidFill>
                  <a:effectLst/>
                  <a:latin typeface="Cambria Math" panose="02040503050406030204" pitchFamily="18" charset="0"/>
                  <a:ea typeface="+mn-ea"/>
                  <a:cs typeface="+mn-cs"/>
                </a:rPr>
                <a:t>e</a:t>
              </a:r>
              <a:r>
                <a:rPr lang="en-US" altLang="zh-CN" sz="1100" b="0">
                  <a:solidFill>
                    <a:schemeClr val="tx1"/>
                  </a:solidFill>
                  <a:effectLst/>
                  <a:latin typeface="Cambria Math" panose="02040503050406030204" pitchFamily="18" charset="0"/>
                  <a:ea typeface="+mn-ea"/>
                  <a:cs typeface="+mn-cs"/>
                </a:rPr>
                <a:t>𝑅</a:t>
              </a:r>
              <a:r>
                <a:rPr lang="en-US" altLang="zh-CN" sz="1100" b="0">
                  <a:solidFill>
                    <a:schemeClr val="tx1"/>
                  </a:solidFill>
                  <a:effectLst/>
                  <a:latin typeface="Cambria Math" panose="02040503050406030204" pitchFamily="18" charset="0"/>
                  <a:ea typeface="+mn-ea"/>
                  <a:cs typeface="+mn-cs"/>
                </a:rPr>
                <a:t> </a:t>
              </a:r>
              <a:r>
                <a:rPr lang="en-US" altLang="zh-CN" sz="1100" b="0">
                  <a:solidFill>
                    <a:schemeClr val="tx1"/>
                  </a:solidFill>
                  <a:effectLst/>
                  <a:latin typeface="Cambria Math" panose="02040503050406030204" pitchFamily="18" charset="0"/>
                  <a:ea typeface="+mn-ea"/>
                  <a:cs typeface="+mn-cs"/>
                </a:rPr>
                <a:t>(</a:t>
              </a:r>
              <a:r>
                <a:rPr lang="zh-CN" altLang="en-US" sz="1100" b="0">
                  <a:solidFill>
                    <a:schemeClr val="tx1"/>
                  </a:solidFill>
                  <a:effectLst/>
                  <a:latin typeface="Cambria Math" panose="02040503050406030204" pitchFamily="18" charset="0"/>
                  <a:ea typeface="+mn-ea"/>
                  <a:cs typeface="+mn-cs"/>
                </a:rPr>
                <a:t>包括居中则为</a:t>
              </a:r>
              <a:r>
                <a:rPr lang="en-US" altLang="zh-CN" sz="1100" b="0">
                  <a:solidFill>
                    <a:schemeClr val="tx1"/>
                  </a:solidFill>
                  <a:effectLst/>
                  <a:latin typeface="Cambria Math" panose="02040503050406030204" pitchFamily="18" charset="0"/>
                  <a:ea typeface="+mn-ea"/>
                  <a:cs typeface="+mn-cs"/>
                </a:rPr>
                <a:t>0</a:t>
              </a:r>
              <a:r>
                <a:rPr lang="en-US" altLang="zh-CN" sz="1100" b="0">
                  <a:solidFill>
                    <a:schemeClr val="tx1"/>
                  </a:solidFill>
                  <a:effectLst/>
                  <a:latin typeface="Cambria Math" panose="02040503050406030204" pitchFamily="18" charset="0"/>
                  <a:ea typeface="+mn-ea"/>
                  <a:cs typeface="+mn-cs"/>
                </a:rPr>
                <a:t>)</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endParaRPr lang="en-US" sz="1200">
                <a:effectLst/>
                <a:latin typeface="宋体" panose="02010600030101010101" pitchFamily="7" charset="-122"/>
                <a:ea typeface="宋体" panose="02010600030101010101" pitchFamily="7" charset="-122"/>
                <a:cs typeface="宋体" panose="02010600030101010101" pitchFamily="7" charset="-122"/>
              </a:endParaRPr>
            </a:p>
          </xdr:txBody>
        </xdr:sp>
      </mc:Fallback>
    </mc:AlternateContent>
    <xdr:clientData/>
  </xdr:twoCellAnchor>
  <xdr:twoCellAnchor>
    <xdr:from>
      <xdr:col>0</xdr:col>
      <xdr:colOff>376517</xdr:colOff>
      <xdr:row>79</xdr:row>
      <xdr:rowOff>170330</xdr:rowOff>
    </xdr:from>
    <xdr:to>
      <xdr:col>3</xdr:col>
      <xdr:colOff>753035</xdr:colOff>
      <xdr:row>79</xdr:row>
      <xdr:rowOff>1344706</xdr:rowOff>
    </xdr:to>
    <mc:AlternateContent xmlns:mc="http://schemas.openxmlformats.org/markup-compatibility/2006" xmlns:a14="http://schemas.microsoft.com/office/drawing/2010/main">
      <mc:Choice Requires="a14">
        <xdr:sp macro="" textlink="">
          <xdr:nvSpPr>
            <xdr:cNvPr id="30" name="TextBox 23">
              <a:extLst>
                <a:ext uri="{FF2B5EF4-FFF2-40B4-BE49-F238E27FC236}">
                  <a16:creationId xmlns:a16="http://schemas.microsoft.com/office/drawing/2014/main" id="{00000000-0008-0000-0200-00001E000000}"/>
                </a:ext>
              </a:extLst>
            </xdr:cNvPr>
            <xdr:cNvSpPr txBox="1"/>
          </xdr:nvSpPr>
          <xdr:spPr>
            <a:xfrm>
              <a:off x="375920" y="25883870"/>
              <a:ext cx="5466715" cy="117411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marL="0" marR="0">
                <a:spcBef>
                  <a:spcPts val="0"/>
                </a:spcBef>
                <a:spcAft>
                  <a:spcPts val="0"/>
                </a:spcAft>
              </a:pPr>
              <a14:m>
                <m:oMathPara xmlns:m="http://schemas.openxmlformats.org/officeDocument/2006/math">
                  <m:oMathParaPr>
                    <m:jc m:val="left"/>
                  </m:oMathParaPr>
                  <m:oMath xmlns:m="http://schemas.openxmlformats.org/officeDocument/2006/math">
                    <m:r>
                      <a:rPr lang="en-US" altLang="zh-CN"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𝐷</m:t>
                    </m:r>
                    <m:r>
                      <m:rPr>
                        <m:sty m:val="p"/>
                      </m:rPr>
                      <a:rPr lang="en-US" altLang="zh-CN"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e</m:t>
                    </m:r>
                    <m:r>
                      <a:rPr lang="en-US" altLang="zh-CN"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0</m:t>
                    </m:r>
                    <m: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m:t>
                    </m:r>
                    <m:d>
                      <m:dPr>
                        <m:begChr m:val="{"/>
                        <m:endChr m:val=""/>
                        <m:ctrlPr>
                          <a:rPr 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dPr>
                      <m:e>
                        <m:eqArr>
                          <m:eqArrPr>
                            <m:ctrlPr>
                              <a:rPr lang="en-US" altLang="zh-CN"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eqArr>
                              <m:eqArrPr>
                                <m:ctrlPr>
                                  <a:rPr lang="en-US" altLang="zh-CN" sz="1100" b="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ctrlPr>
                              </m:eqArrPr>
                              <m:e>
                                <m:r>
                                  <a:rPr lang="zh-CN" altLang="en-US" sz="1100" i="1">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m:t>旁开门（开门边界与轿壁齐平）：</m:t>
                                </m:r>
                                <m:f>
                                  <m:fPr>
                                    <m:ctrlPr>
                                      <a:rPr lang="en-US" altLang="zh-CN" sz="1100" b="0" i="1">
                                        <a:solidFill>
                                          <a:schemeClr val="tx1"/>
                                        </a:solidFill>
                                        <a:effectLst/>
                                        <a:latin typeface="Cambria Math" panose="02040503050406030204" pitchFamily="18" charset="0"/>
                                        <a:ea typeface="+mn-ea"/>
                                        <a:cs typeface="+mn-cs"/>
                                      </a:rPr>
                                    </m:ctrlPr>
                                  </m:fPr>
                                  <m:num>
                                    <m:d>
                                      <m:dPr>
                                        <m:begChr m:val="|"/>
                                        <m:endChr m:val="|"/>
                                        <m:ctrlPr>
                                          <a:rPr lang="en-US" altLang="zh-CN" sz="1100" i="1">
                                            <a:solidFill>
                                              <a:schemeClr val="tx1"/>
                                            </a:solidFill>
                                            <a:effectLst/>
                                            <a:latin typeface="Cambria Math" panose="02040503050406030204" pitchFamily="18" charset="0"/>
                                            <a:ea typeface="+mn-ea"/>
                                            <a:cs typeface="+mn-cs"/>
                                          </a:rPr>
                                        </m:ctrlPr>
                                      </m:dPr>
                                      <m:e>
                                        <m:r>
                                          <m:rPr>
                                            <m:sty m:val="p"/>
                                          </m:rPr>
                                          <a:rPr lang="en-US" altLang="zh-CN" sz="1100">
                                            <a:solidFill>
                                              <a:schemeClr val="tx1"/>
                                            </a:solidFill>
                                            <a:effectLst/>
                                            <a:latin typeface="Cambria Math" panose="02040503050406030204" pitchFamily="18" charset="0"/>
                                            <a:ea typeface="+mn-ea"/>
                                            <a:cs typeface="+mn-cs"/>
                                          </a:rPr>
                                          <m:t>CW</m:t>
                                        </m:r>
                                        <m:r>
                                          <a:rPr lang="en-US" altLang="zh-CN" sz="1100" i="1">
                                            <a:solidFill>
                                              <a:schemeClr val="tx1"/>
                                            </a:solidFill>
                                            <a:effectLst/>
                                            <a:latin typeface="Cambria Math" panose="02040503050406030204" pitchFamily="18" charset="0"/>
                                            <a:ea typeface="+mn-ea"/>
                                            <a:cs typeface="+mn-cs"/>
                                          </a:rPr>
                                          <m:t>−</m:t>
                                        </m:r>
                                        <m:r>
                                          <m:rPr>
                                            <m:sty m:val="p"/>
                                          </m:rPr>
                                          <a:rPr lang="en-US" altLang="zh-CN" sz="1100">
                                            <a:solidFill>
                                              <a:schemeClr val="tx1"/>
                                            </a:solidFill>
                                            <a:effectLst/>
                                            <a:latin typeface="Cambria Math" panose="02040503050406030204" pitchFamily="18" charset="0"/>
                                            <a:ea typeface="+mn-ea"/>
                                            <a:cs typeface="+mn-cs"/>
                                          </a:rPr>
                                          <m:t>DW</m:t>
                                        </m:r>
                                      </m:e>
                                    </m:d>
                                  </m:num>
                                  <m:den>
                                    <m:r>
                                      <a:rPr lang="en-US" altLang="zh-CN" sz="1100" b="0" i="1">
                                        <a:solidFill>
                                          <a:schemeClr val="tx1"/>
                                        </a:solidFill>
                                        <a:effectLst/>
                                        <a:latin typeface="Cambria Math" panose="02040503050406030204" pitchFamily="18" charset="0"/>
                                        <a:ea typeface="+mn-ea"/>
                                        <a:cs typeface="+mn-cs"/>
                                      </a:rPr>
                                      <m:t>2</m:t>
                                    </m:r>
                                  </m:den>
                                </m:f>
                              </m:e>
                            </m:eqArr>
                          </m:e>
                          <m:e>
                            <m:r>
                              <a:rPr lang="zh-CN" altLang="en-US" sz="1100" b="0" i="1">
                                <a:solidFill>
                                  <a:schemeClr val="tx1"/>
                                </a:solidFill>
                                <a:effectLst/>
                                <a:latin typeface="Cambria Math" panose="02040503050406030204" pitchFamily="18" charset="0"/>
                                <a:ea typeface="+mn-ea"/>
                                <a:cs typeface="+mn-cs"/>
                              </a:rPr>
                              <m:t>非旁开门</m:t>
                            </m:r>
                            <m:r>
                              <a:rPr lang="zh-CN" altLang="en-US" sz="1100">
                                <a:solidFill>
                                  <a:schemeClr val="tx1"/>
                                </a:solidFill>
                                <a:effectLst/>
                                <a:latin typeface="Cambria Math" panose="02040503050406030204" pitchFamily="18" charset="0"/>
                                <a:ea typeface="+mn-ea"/>
                                <a:cs typeface="+mn-cs"/>
                              </a:rPr>
                              <m:t>：</m:t>
                            </m:r>
                            <m:d>
                              <m:dPr>
                                <m:begChr m:val="{"/>
                                <m:endChr m:val=""/>
                                <m:ctrlPr>
                                  <a:rPr lang="en-US" altLang="zh-CN" sz="1100" i="1">
                                    <a:solidFill>
                                      <a:schemeClr val="tx1"/>
                                    </a:solidFill>
                                    <a:effectLst/>
                                    <a:latin typeface="Cambria Math" panose="02040503050406030204" pitchFamily="18" charset="0"/>
                                    <a:ea typeface="+mn-ea"/>
                                    <a:cs typeface="+mn-cs"/>
                                  </a:rPr>
                                </m:ctrlPr>
                              </m:dPr>
                              <m:e>
                                <m:eqArr>
                                  <m:eqArrPr>
                                    <m:ctrlPr>
                                      <a:rPr lang="en-US" altLang="zh-CN" sz="1100" i="1">
                                        <a:solidFill>
                                          <a:schemeClr val="tx1"/>
                                        </a:solidFill>
                                        <a:effectLst/>
                                        <a:latin typeface="Cambria Math" panose="02040503050406030204" pitchFamily="18" charset="0"/>
                                        <a:ea typeface="+mn-ea"/>
                                        <a:cs typeface="+mn-cs"/>
                                      </a:rPr>
                                    </m:ctrlPr>
                                  </m:eqArrPr>
                                  <m:e>
                                    <m:r>
                                      <a:rPr lang="en-US" altLang="zh-CN" sz="1100">
                                        <a:solidFill>
                                          <a:schemeClr val="tx1"/>
                                        </a:solidFill>
                                        <a:effectLst/>
                                        <a:latin typeface="Cambria Math" panose="02040503050406030204" pitchFamily="18" charset="0"/>
                                        <a:ea typeface="+mn-ea"/>
                                        <a:cs typeface="+mn-cs"/>
                                      </a:rPr>
                                      <m:t>+1</m:t>
                                    </m:r>
                                    <m:r>
                                      <a:rPr lang="zh-CN" altLang="en-US" sz="1100">
                                        <a:solidFill>
                                          <a:schemeClr val="tx1"/>
                                        </a:solidFill>
                                        <a:effectLst/>
                                        <a:latin typeface="Cambria Math" panose="02040503050406030204" pitchFamily="18" charset="0"/>
                                        <a:ea typeface="+mn-ea"/>
                                        <a:cs typeface="+mn-cs"/>
                                      </a:rPr>
                                      <m:t>，</m:t>
                                    </m:r>
                                    <m:r>
                                      <m:rPr>
                                        <m:sty m:val="p"/>
                                      </m:rPr>
                                      <a:rPr lang="en-US" altLang="zh-CN" sz="1100">
                                        <a:solidFill>
                                          <a:schemeClr val="tx1"/>
                                        </a:solidFill>
                                        <a:effectLst/>
                                        <a:latin typeface="Cambria Math" panose="02040503050406030204" pitchFamily="18" charset="0"/>
                                        <a:ea typeface="+mn-ea"/>
                                        <a:cs typeface="+mn-cs"/>
                                      </a:rPr>
                                      <m:t>De</m:t>
                                    </m:r>
                                    <m:r>
                                      <m:rPr>
                                        <m:sty m:val="p"/>
                                      </m:rPr>
                                      <a:rPr lang="en-US" altLang="zh-CN" sz="1100" b="0" i="0">
                                        <a:solidFill>
                                          <a:schemeClr val="tx1"/>
                                        </a:solidFill>
                                        <a:effectLst/>
                                        <a:latin typeface="Cambria Math" panose="02040503050406030204" pitchFamily="18" charset="0"/>
                                        <a:ea typeface="+mn-ea"/>
                                        <a:cs typeface="+mn-cs"/>
                                      </a:rPr>
                                      <m:t>S</m:t>
                                    </m:r>
                                    <m:r>
                                      <a:rPr lang="en-US" altLang="zh-CN" sz="1100">
                                        <a:solidFill>
                                          <a:schemeClr val="tx1"/>
                                        </a:solidFill>
                                        <a:effectLst/>
                                        <a:latin typeface="Cambria Math" panose="02040503050406030204" pitchFamily="18" charset="0"/>
                                        <a:ea typeface="+mn-ea"/>
                                        <a:cs typeface="+mn-cs"/>
                                      </a:rPr>
                                      <m:t>≥0</m:t>
                                    </m:r>
                                    <m:r>
                                      <a:rPr lang="en-US" altLang="zh-CN" sz="1100" i="1">
                                        <a:solidFill>
                                          <a:schemeClr val="tx1"/>
                                        </a:solidFill>
                                        <a:effectLst/>
                                        <a:latin typeface="Cambria Math" panose="02040503050406030204" pitchFamily="18" charset="0"/>
                                        <a:ea typeface="+mn-ea"/>
                                        <a:cs typeface="+mn-cs"/>
                                      </a:rPr>
                                      <m:t> </m:t>
                                    </m:r>
                                    <m:r>
                                      <a:rPr lang="zh-CN" altLang="en-US" sz="1100">
                                        <a:solidFill>
                                          <a:schemeClr val="tx1"/>
                                        </a:solidFill>
                                        <a:effectLst/>
                                        <a:latin typeface="Cambria Math" panose="02040503050406030204" pitchFamily="18" charset="0"/>
                                        <a:ea typeface="+mn-ea"/>
                                        <a:cs typeface="+mn-cs"/>
                                      </a:rPr>
                                      <m:t>时</m:t>
                                    </m:r>
                                  </m:e>
                                  <m:e>
                                    <m:r>
                                      <a:rPr lang="en-US" altLang="zh-CN" sz="1100" i="1">
                                        <a:solidFill>
                                          <a:schemeClr val="tx1"/>
                                        </a:solidFill>
                                        <a:effectLst/>
                                        <a:latin typeface="Cambria Math" panose="02040503050406030204" pitchFamily="18" charset="0"/>
                                        <a:ea typeface="+mn-ea"/>
                                        <a:cs typeface="+mn-cs"/>
                                      </a:rPr>
                                      <m:t>−</m:t>
                                    </m:r>
                                    <m:r>
                                      <a:rPr lang="en-US" altLang="zh-CN" sz="1100">
                                        <a:solidFill>
                                          <a:schemeClr val="tx1"/>
                                        </a:solidFill>
                                        <a:effectLst/>
                                        <a:latin typeface="Cambria Math" panose="02040503050406030204" pitchFamily="18" charset="0"/>
                                        <a:ea typeface="+mn-ea"/>
                                        <a:cs typeface="+mn-cs"/>
                                      </a:rPr>
                                      <m:t>1</m:t>
                                    </m:r>
                                    <m:r>
                                      <a:rPr lang="zh-CN" altLang="en-US" sz="1100">
                                        <a:solidFill>
                                          <a:schemeClr val="tx1"/>
                                        </a:solidFill>
                                        <a:effectLst/>
                                        <a:latin typeface="Cambria Math" panose="02040503050406030204" pitchFamily="18" charset="0"/>
                                        <a:ea typeface="+mn-ea"/>
                                        <a:cs typeface="+mn-cs"/>
                                      </a:rPr>
                                      <m:t>，</m:t>
                                    </m:r>
                                    <m:r>
                                      <m:rPr>
                                        <m:sty m:val="p"/>
                                      </m:rPr>
                                      <a:rPr lang="en-US" altLang="zh-CN" sz="1100">
                                        <a:solidFill>
                                          <a:schemeClr val="tx1"/>
                                        </a:solidFill>
                                        <a:effectLst/>
                                        <a:latin typeface="Cambria Math" panose="02040503050406030204" pitchFamily="18" charset="0"/>
                                        <a:ea typeface="+mn-ea"/>
                                        <a:cs typeface="+mn-cs"/>
                                      </a:rPr>
                                      <m:t>De</m:t>
                                    </m:r>
                                    <m:r>
                                      <m:rPr>
                                        <m:sty m:val="p"/>
                                      </m:rPr>
                                      <a:rPr lang="en-US" altLang="zh-CN" sz="1100" b="0" i="0">
                                        <a:solidFill>
                                          <a:schemeClr val="tx1"/>
                                        </a:solidFill>
                                        <a:effectLst/>
                                        <a:latin typeface="Cambria Math" panose="02040503050406030204" pitchFamily="18" charset="0"/>
                                        <a:ea typeface="+mn-ea"/>
                                        <a:cs typeface="+mn-cs"/>
                                      </a:rPr>
                                      <m:t>S</m:t>
                                    </m:r>
                                    <m:r>
                                      <a:rPr lang="en-US" altLang="zh-CN" sz="1100">
                                        <a:solidFill>
                                          <a:schemeClr val="tx1"/>
                                        </a:solidFill>
                                        <a:effectLst/>
                                        <a:latin typeface="Cambria Math" panose="02040503050406030204" pitchFamily="18" charset="0"/>
                                        <a:ea typeface="+mn-ea"/>
                                        <a:cs typeface="+mn-cs"/>
                                      </a:rPr>
                                      <m:t>&lt;0</m:t>
                                    </m:r>
                                    <m:r>
                                      <a:rPr lang="en-US" altLang="zh-CN" sz="1100" i="1">
                                        <a:solidFill>
                                          <a:schemeClr val="tx1"/>
                                        </a:solidFill>
                                        <a:effectLst/>
                                        <a:latin typeface="Cambria Math" panose="02040503050406030204" pitchFamily="18" charset="0"/>
                                        <a:ea typeface="+mn-ea"/>
                                        <a:cs typeface="+mn-cs"/>
                                      </a:rPr>
                                      <m:t> </m:t>
                                    </m:r>
                                    <m:r>
                                      <a:rPr lang="zh-CN" altLang="en-US" sz="1100">
                                        <a:solidFill>
                                          <a:schemeClr val="tx1"/>
                                        </a:solidFill>
                                        <a:effectLst/>
                                        <a:latin typeface="Cambria Math" panose="02040503050406030204" pitchFamily="18" charset="0"/>
                                        <a:ea typeface="+mn-ea"/>
                                        <a:cs typeface="+mn-cs"/>
                                      </a:rPr>
                                      <m:t>时</m:t>
                                    </m:r>
                                  </m:e>
                                </m:eqArr>
                                <m:r>
                                  <a:rPr lang="en-US" altLang="zh-CN" sz="1100">
                                    <a:solidFill>
                                      <a:schemeClr val="tx1"/>
                                    </a:solidFill>
                                    <a:effectLst/>
                                    <a:latin typeface="Cambria Math" panose="02040503050406030204" pitchFamily="18" charset="0"/>
                                    <a:ea typeface="+mn-ea"/>
                                    <a:cs typeface="+mn-cs"/>
                                  </a:rPr>
                                  <m:t>∙</m:t>
                                </m:r>
                                <m:r>
                                  <m:rPr>
                                    <m:sty m:val="p"/>
                                  </m:rPr>
                                  <a:rPr lang="en-US" altLang="zh-CN" sz="1100">
                                    <a:solidFill>
                                      <a:schemeClr val="tx1"/>
                                    </a:solidFill>
                                    <a:effectLst/>
                                    <a:latin typeface="Cambria Math" panose="02040503050406030204" pitchFamily="18" charset="0"/>
                                    <a:ea typeface="+mn-ea"/>
                                    <a:cs typeface="+mn-cs"/>
                                  </a:rPr>
                                  <m:t>MIN</m:t>
                                </m:r>
                                <m:d>
                                  <m:dPr>
                                    <m:begChr m:val="{"/>
                                    <m:endChr m:val=""/>
                                    <m:ctrlPr>
                                      <a:rPr lang="en-US" altLang="zh-CN" sz="1100" i="1">
                                        <a:solidFill>
                                          <a:schemeClr val="tx1"/>
                                        </a:solidFill>
                                        <a:effectLst/>
                                        <a:latin typeface="Cambria Math" panose="02040503050406030204" pitchFamily="18" charset="0"/>
                                        <a:ea typeface="+mn-ea"/>
                                        <a:cs typeface="+mn-cs"/>
                                      </a:rPr>
                                    </m:ctrlPr>
                                  </m:dPr>
                                  <m:e>
                                    <m:eqArr>
                                      <m:eqArrPr>
                                        <m:ctrlPr>
                                          <a:rPr lang="en-US" altLang="zh-CN" sz="1100" i="1">
                                            <a:solidFill>
                                              <a:schemeClr val="tx1"/>
                                            </a:solidFill>
                                            <a:effectLst/>
                                            <a:latin typeface="Cambria Math" panose="02040503050406030204" pitchFamily="18" charset="0"/>
                                            <a:ea typeface="+mn-ea"/>
                                            <a:cs typeface="+mn-cs"/>
                                          </a:rPr>
                                        </m:ctrlPr>
                                      </m:eqArrPr>
                                      <m:e>
                                        <m:d>
                                          <m:dPr>
                                            <m:begChr m:val="|"/>
                                            <m:endChr m:val="|"/>
                                            <m:ctrlPr>
                                              <a:rPr lang="en-US" altLang="zh-CN" sz="1100" i="1">
                                                <a:solidFill>
                                                  <a:schemeClr val="tx1"/>
                                                </a:solidFill>
                                                <a:effectLst/>
                                                <a:latin typeface="Cambria Math" panose="02040503050406030204" pitchFamily="18" charset="0"/>
                                                <a:ea typeface="+mn-ea"/>
                                                <a:cs typeface="+mn-cs"/>
                                              </a:rPr>
                                            </m:ctrlPr>
                                          </m:dPr>
                                          <m:e>
                                            <m:r>
                                              <m:rPr>
                                                <m:sty m:val="p"/>
                                              </m:rPr>
                                              <a:rPr lang="en-US" altLang="zh-CN" sz="1100">
                                                <a:solidFill>
                                                  <a:schemeClr val="tx1"/>
                                                </a:solidFill>
                                                <a:effectLst/>
                                                <a:latin typeface="Cambria Math" panose="02040503050406030204" pitchFamily="18" charset="0"/>
                                                <a:ea typeface="+mn-ea"/>
                                                <a:cs typeface="+mn-cs"/>
                                              </a:rPr>
                                              <m:t>De</m:t>
                                            </m:r>
                                            <m:r>
                                              <m:rPr>
                                                <m:sty m:val="p"/>
                                              </m:rPr>
                                              <a:rPr lang="en-US" altLang="zh-CN" sz="1100" b="0" i="0">
                                                <a:solidFill>
                                                  <a:schemeClr val="tx1"/>
                                                </a:solidFill>
                                                <a:effectLst/>
                                                <a:latin typeface="Cambria Math" panose="02040503050406030204" pitchFamily="18" charset="0"/>
                                                <a:ea typeface="+mn-ea"/>
                                                <a:cs typeface="+mn-cs"/>
                                              </a:rPr>
                                              <m:t>S</m:t>
                                            </m:r>
                                          </m:e>
                                        </m:d>
                                      </m:e>
                                      <m:e>
                                        <m:f>
                                          <m:fPr>
                                            <m:ctrlPr>
                                              <a:rPr lang="en-US" altLang="zh-CN" sz="1100" i="1">
                                                <a:solidFill>
                                                  <a:schemeClr val="tx1"/>
                                                </a:solidFill>
                                                <a:effectLst/>
                                                <a:latin typeface="Cambria Math" panose="02040503050406030204" pitchFamily="18" charset="0"/>
                                                <a:ea typeface="+mn-ea"/>
                                                <a:cs typeface="+mn-cs"/>
                                              </a:rPr>
                                            </m:ctrlPr>
                                          </m:fPr>
                                          <m:num>
                                            <m:d>
                                              <m:dPr>
                                                <m:begChr m:val="|"/>
                                                <m:endChr m:val="|"/>
                                                <m:ctrlPr>
                                                  <a:rPr lang="en-US" altLang="zh-CN" sz="1100" i="1">
                                                    <a:solidFill>
                                                      <a:schemeClr val="tx1"/>
                                                    </a:solidFill>
                                                    <a:effectLst/>
                                                    <a:latin typeface="Cambria Math" panose="02040503050406030204" pitchFamily="18" charset="0"/>
                                                    <a:ea typeface="+mn-ea"/>
                                                    <a:cs typeface="+mn-cs"/>
                                                  </a:rPr>
                                                </m:ctrlPr>
                                              </m:dPr>
                                              <m:e>
                                                <m:r>
                                                  <m:rPr>
                                                    <m:sty m:val="p"/>
                                                  </m:rPr>
                                                  <a:rPr lang="en-US" altLang="zh-CN" sz="1100">
                                                    <a:solidFill>
                                                      <a:schemeClr val="tx1"/>
                                                    </a:solidFill>
                                                    <a:effectLst/>
                                                    <a:latin typeface="Cambria Math" panose="02040503050406030204" pitchFamily="18" charset="0"/>
                                                    <a:ea typeface="+mn-ea"/>
                                                    <a:cs typeface="+mn-cs"/>
                                                  </a:rPr>
                                                  <m:t>CW</m:t>
                                                </m:r>
                                                <m:r>
                                                  <a:rPr lang="en-US" altLang="zh-CN" sz="1100" i="1">
                                                    <a:solidFill>
                                                      <a:schemeClr val="tx1"/>
                                                    </a:solidFill>
                                                    <a:effectLst/>
                                                    <a:latin typeface="Cambria Math" panose="02040503050406030204" pitchFamily="18" charset="0"/>
                                                    <a:ea typeface="+mn-ea"/>
                                                    <a:cs typeface="+mn-cs"/>
                                                  </a:rPr>
                                                  <m:t>−</m:t>
                                                </m:r>
                                                <m:r>
                                                  <m:rPr>
                                                    <m:sty m:val="p"/>
                                                  </m:rPr>
                                                  <a:rPr lang="en-US" altLang="zh-CN" sz="1100">
                                                    <a:solidFill>
                                                      <a:schemeClr val="tx1"/>
                                                    </a:solidFill>
                                                    <a:effectLst/>
                                                    <a:latin typeface="Cambria Math" panose="02040503050406030204" pitchFamily="18" charset="0"/>
                                                    <a:ea typeface="+mn-ea"/>
                                                    <a:cs typeface="+mn-cs"/>
                                                  </a:rPr>
                                                  <m:t>DW</m:t>
                                                </m:r>
                                              </m:e>
                                            </m:d>
                                          </m:num>
                                          <m:den>
                                            <m:r>
                                              <a:rPr lang="en-US" altLang="zh-CN" sz="1100">
                                                <a:solidFill>
                                                  <a:schemeClr val="tx1"/>
                                                </a:solidFill>
                                                <a:effectLst/>
                                                <a:latin typeface="Cambria Math" panose="02040503050406030204" pitchFamily="18" charset="0"/>
                                                <a:ea typeface="+mn-ea"/>
                                                <a:cs typeface="+mn-cs"/>
                                              </a:rPr>
                                              <m:t>2</m:t>
                                            </m:r>
                                          </m:den>
                                        </m:f>
                                      </m:e>
                                    </m:eqArr>
                                  </m:e>
                                </m:d>
                              </m:e>
                            </m:d>
                          </m:e>
                        </m:eqArr>
                      </m:e>
                    </m:d>
                  </m:oMath>
                </m:oMathPara>
              </a14:m>
              <a:endParaRPr lang="en-US" sz="1200">
                <a:effectLst/>
                <a:latin typeface="宋体" panose="02010600030101010101" pitchFamily="7" charset="-122"/>
                <a:ea typeface="宋体" panose="02010600030101010101" pitchFamily="7" charset="-122"/>
                <a:cs typeface="宋体" panose="02010600030101010101" pitchFamily="7" charset="-122"/>
              </a:endParaRPr>
            </a:p>
          </xdr:txBody>
        </xdr:sp>
      </mc:Choice>
      <mc:Fallback xmlns:r="http://schemas.openxmlformats.org/officeDocument/2006/relationships" xmlns="">
        <xdr:sp>
          <xdr:nvSpPr>
            <xdr:cNvPr id="30" name="TextBox 23"/>
            <xdr:cNvSpPr txBox="1"/>
          </xdr:nvSpPr>
          <xdr:spPr>
            <a:xfrm>
              <a:off x="375920" y="25883870"/>
              <a:ext cx="5466715" cy="117411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marL="0" marR="0">
                <a:spcBef>
                  <a:spcPts val="0"/>
                </a:spcBef>
                <a:spcAft>
                  <a:spcPts val="0"/>
                </a:spcAft>
              </a:pP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𝐷</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e</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0</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旁开门（开门边界与轿壁齐平）：</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CW</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DW</a:t>
              </a:r>
              <a:r>
                <a:rPr lang="en-US" altLang="zh-CN" sz="110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2</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zh-CN" altLang="en-US" sz="1100" b="0">
                  <a:solidFill>
                    <a:schemeClr val="tx1"/>
                  </a:solidFill>
                  <a:effectLst/>
                  <a:latin typeface="Cambria Math" panose="02040503050406030204" pitchFamily="18" charset="0"/>
                  <a:ea typeface="+mn-ea"/>
                  <a:cs typeface="+mn-cs"/>
                </a:rPr>
                <a:t>非旁开门</a:t>
              </a:r>
              <a:r>
                <a:rPr lang="zh-CN" altLang="en-US"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1</a:t>
              </a:r>
              <a:r>
                <a:rPr lang="zh-CN" altLang="en-US"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De</a:t>
              </a:r>
              <a:r>
                <a:rPr lang="en-US" altLang="zh-CN" sz="1100" b="0">
                  <a:solidFill>
                    <a:schemeClr val="tx1"/>
                  </a:solidFill>
                  <a:effectLst/>
                  <a:latin typeface="Cambria Math" panose="02040503050406030204" pitchFamily="18" charset="0"/>
                  <a:ea typeface="+mn-ea"/>
                  <a:cs typeface="+mn-cs"/>
                </a:rPr>
                <a:t>S</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0</a:t>
              </a:r>
              <a:r>
                <a:rPr lang="en-US" altLang="zh-CN" sz="1100">
                  <a:solidFill>
                    <a:schemeClr val="tx1"/>
                  </a:solidFill>
                  <a:effectLst/>
                  <a:latin typeface="Cambria Math" panose="02040503050406030204" pitchFamily="18" charset="0"/>
                  <a:ea typeface="+mn-ea"/>
                  <a:cs typeface="+mn-cs"/>
                </a:rPr>
                <a:t> </a:t>
              </a:r>
              <a:r>
                <a:rPr lang="zh-CN" altLang="en-US" sz="1100">
                  <a:solidFill>
                    <a:schemeClr val="tx1"/>
                  </a:solidFill>
                  <a:effectLst/>
                  <a:latin typeface="Cambria Math" panose="02040503050406030204" pitchFamily="18" charset="0"/>
                  <a:ea typeface="+mn-ea"/>
                  <a:cs typeface="+mn-cs"/>
                </a:rPr>
                <a:t>时</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1</a:t>
              </a:r>
              <a:r>
                <a:rPr lang="zh-CN" altLang="en-US"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De</a:t>
              </a:r>
              <a:r>
                <a:rPr lang="en-US" altLang="zh-CN" sz="1100" b="0">
                  <a:solidFill>
                    <a:schemeClr val="tx1"/>
                  </a:solidFill>
                  <a:effectLst/>
                  <a:latin typeface="Cambria Math" panose="02040503050406030204" pitchFamily="18" charset="0"/>
                  <a:ea typeface="+mn-ea"/>
                  <a:cs typeface="+mn-cs"/>
                </a:rPr>
                <a:t>S</a:t>
              </a:r>
              <a:r>
                <a:rPr lang="en-US" altLang="zh-CN" sz="1100">
                  <a:solidFill>
                    <a:schemeClr val="tx1"/>
                  </a:solidFill>
                  <a:effectLst/>
                  <a:latin typeface="Cambria Math" panose="02040503050406030204" pitchFamily="18" charset="0"/>
                  <a:ea typeface="+mn-ea"/>
                  <a:cs typeface="+mn-cs"/>
                </a:rPr>
                <a:t>&lt;</a:t>
              </a:r>
              <a:r>
                <a:rPr lang="en-US" altLang="zh-CN" sz="1100">
                  <a:solidFill>
                    <a:schemeClr val="tx1"/>
                  </a:solidFill>
                  <a:effectLst/>
                  <a:latin typeface="Cambria Math" panose="02040503050406030204" pitchFamily="18" charset="0"/>
                  <a:ea typeface="+mn-ea"/>
                  <a:cs typeface="+mn-cs"/>
                </a:rPr>
                <a:t>0</a:t>
              </a:r>
              <a:r>
                <a:rPr lang="en-US" altLang="zh-CN" sz="1100">
                  <a:solidFill>
                    <a:schemeClr val="tx1"/>
                  </a:solidFill>
                  <a:effectLst/>
                  <a:latin typeface="Cambria Math" panose="02040503050406030204" pitchFamily="18" charset="0"/>
                  <a:ea typeface="+mn-ea"/>
                  <a:cs typeface="+mn-cs"/>
                </a:rPr>
                <a:t> </a:t>
              </a:r>
              <a:r>
                <a:rPr lang="zh-CN" altLang="en-US" sz="1100">
                  <a:solidFill>
                    <a:schemeClr val="tx1"/>
                  </a:solidFill>
                  <a:effectLst/>
                  <a:latin typeface="Cambria Math" panose="02040503050406030204" pitchFamily="18" charset="0"/>
                  <a:ea typeface="+mn-ea"/>
                  <a:cs typeface="+mn-cs"/>
                </a:rPr>
                <a:t>时</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MIN</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De</a:t>
              </a:r>
              <a:r>
                <a:rPr lang="en-US" altLang="zh-CN" sz="1100" b="0">
                  <a:solidFill>
                    <a:schemeClr val="tx1"/>
                  </a:solidFill>
                  <a:effectLst/>
                  <a:latin typeface="Cambria Math" panose="02040503050406030204" pitchFamily="18" charset="0"/>
                  <a:ea typeface="+mn-ea"/>
                  <a:cs typeface="+mn-cs"/>
                </a:rPr>
                <a:t>S</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CW</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DW</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2</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a:solidFill>
                    <a:schemeClr val="tx1"/>
                  </a:solidFill>
                  <a:effectLst/>
                  <a:latin typeface="Cambria Math" panose="02040503050406030204" pitchFamily="18" charset="0"/>
                  <a:ea typeface="+mn-ea"/>
                  <a:cs typeface="+mn-cs"/>
                </a:rPr>
                <a:t>┤</a:t>
              </a:r>
              <a:r>
                <a:rPr lang="en-US" altLang="zh-CN" sz="1100" b="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r>
                <a:rPr lang="en-US" sz="1100">
                  <a:solidFill>
                    <a:srgbClr val="000000"/>
                  </a:solidFill>
                  <a:effectLst/>
                  <a:latin typeface="Cambria Math" panose="02040503050406030204" pitchFamily="18" charset="0"/>
                  <a:ea typeface="宋体" panose="02010600030101010101" pitchFamily="7" charset="-122"/>
                  <a:cs typeface="Times New Roman" panose="02020603050405020304" pitchFamily="18" charset="0"/>
                </a:rPr>
                <a:t>┤</a:t>
              </a:r>
              <a:endParaRPr lang="en-US" sz="1200">
                <a:effectLst/>
                <a:latin typeface="宋体" panose="02010600030101010101" pitchFamily="7" charset="-122"/>
                <a:ea typeface="宋体" panose="02010600030101010101" pitchFamily="7" charset="-122"/>
                <a:cs typeface="宋体" panose="02010600030101010101" pitchFamily="7" charset="-122"/>
              </a:endParaRPr>
            </a:p>
          </xdr:txBody>
        </xdr:sp>
      </mc:Fallback>
    </mc:AlternateContent>
    <xdr:clientData/>
  </xdr:twoCellAnchor>
  <xdr:oneCellAnchor>
    <xdr:from>
      <xdr:col>0</xdr:col>
      <xdr:colOff>143435</xdr:colOff>
      <xdr:row>101</xdr:row>
      <xdr:rowOff>152401</xdr:rowOff>
    </xdr:from>
    <xdr:ext cx="6853517" cy="1595718"/>
    <mc:AlternateContent xmlns:mc="http://schemas.openxmlformats.org/markup-compatibility/2006" xmlns:a14="http://schemas.microsoft.com/office/drawing/2010/main">
      <mc:Choice Requires="a14">
        <xdr:sp macro="" textlink="">
          <xdr:nvSpPr>
            <xdr:cNvPr id="32" name="TextBox 17">
              <a:extLst>
                <a:ext uri="{FF2B5EF4-FFF2-40B4-BE49-F238E27FC236}">
                  <a16:creationId xmlns:a16="http://schemas.microsoft.com/office/drawing/2014/main" id="{00000000-0008-0000-0200-000020000000}"/>
                </a:ext>
              </a:extLst>
            </xdr:cNvPr>
            <xdr:cNvSpPr txBox="1"/>
          </xdr:nvSpPr>
          <xdr:spPr>
            <a:xfrm>
              <a:off x="142875" y="32855535"/>
              <a:ext cx="6853555" cy="15951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left"/>
                  </m:oMathParaPr>
                  <m:oMath xmlns:m="http://schemas.openxmlformats.org/officeDocument/2006/math">
                    <m:sSub>
                      <m:sSubPr>
                        <m:ctrlPr>
                          <a:rPr lang="en-US" altLang="zh-CN" sz="1100" b="0" i="1">
                            <a:latin typeface="Cambria Math" panose="02040503050406030204" pitchFamily="18" charset="0"/>
                            <a:ea typeface="Cambria Math" panose="02040503050406030204" pitchFamily="18" charset="0"/>
                          </a:rPr>
                        </m:ctrlPr>
                      </m:sSubPr>
                      <m:e>
                        <m:r>
                          <m:rPr>
                            <m:sty m:val="p"/>
                          </m:rPr>
                          <a:rPr lang="en-US" altLang="zh-CN" sz="1100" b="0" i="0">
                            <a:latin typeface="Cambria Math" panose="02040503050406030204" pitchFamily="18" charset="0"/>
                            <a:ea typeface="Cambria Math" panose="02040503050406030204" pitchFamily="18" charset="0"/>
                          </a:rPr>
                          <m:t>KTV</m:t>
                        </m:r>
                      </m:e>
                      <m:sub>
                        <m:r>
                          <m:rPr>
                            <m:sty m:val="p"/>
                          </m:rPr>
                          <a:rPr lang="en-US" altLang="zh-CN" sz="1100" b="0" i="0">
                            <a:latin typeface="Cambria Math" panose="02040503050406030204" pitchFamily="18" charset="0"/>
                            <a:ea typeface="Cambria Math" panose="02040503050406030204" pitchFamily="18" charset="0"/>
                          </a:rPr>
                          <m:t>S</m:t>
                        </m:r>
                      </m:sub>
                    </m:sSub>
                    <m:r>
                      <a:rPr lang="en-US" altLang="zh-CN" sz="1100" b="0" i="0">
                        <a:latin typeface="Cambria Math" panose="02040503050406030204" pitchFamily="18" charset="0"/>
                        <a:ea typeface="Cambria Math" panose="02040503050406030204" pitchFamily="18" charset="0"/>
                      </a:rPr>
                      <m:t>=</m:t>
                    </m:r>
                    <m:r>
                      <a:rPr lang="en-US" altLang="zh-CN" sz="1100" b="0" i="1">
                        <a:latin typeface="Cambria Math" panose="02040503050406030204" pitchFamily="18" charset="0"/>
                        <a:ea typeface="Cambria Math" panose="02040503050406030204" pitchFamily="18" charset="0"/>
                      </a:rPr>
                      <m:t>0.5</m:t>
                    </m:r>
                    <m:r>
                      <a:rPr lang="en-US" altLang="zh-CN" sz="1100" b="0" i="1">
                        <a:latin typeface="Cambria Math" panose="02040503050406030204" pitchFamily="18" charset="0"/>
                        <a:ea typeface="Cambria Math" panose="02040503050406030204" pitchFamily="18" charset="0"/>
                      </a:rPr>
                      <m:t>𝐶𝐷</m:t>
                    </m:r>
                    <m:r>
                      <a:rPr lang="en-US" altLang="zh-CN" sz="1100" b="0" i="1">
                        <a:latin typeface="Cambria Math" panose="02040503050406030204" pitchFamily="18" charset="0"/>
                        <a:ea typeface="Cambria Math" panose="02040503050406030204" pitchFamily="18" charset="0"/>
                      </a:rPr>
                      <m:t>−</m:t>
                    </m:r>
                    <m:d>
                      <m:dPr>
                        <m:begChr m:val="{"/>
                        <m:endChr m:val=""/>
                        <m:ctrlPr>
                          <a:rPr lang="en-US" altLang="zh-CN" sz="1100" b="0" i="1">
                            <a:latin typeface="Cambria Math" panose="02040503050406030204" pitchFamily="18" charset="0"/>
                            <a:ea typeface="Cambria Math" panose="02040503050406030204" pitchFamily="18" charset="0"/>
                          </a:rPr>
                        </m:ctrlPr>
                      </m:dPr>
                      <m:e>
                        <m:eqArr>
                          <m:eqArrPr>
                            <m:ctrlPr>
                              <a:rPr lang="en-US" altLang="zh-CN" sz="1100" b="0" i="1">
                                <a:latin typeface="Cambria Math" panose="02040503050406030204" pitchFamily="18" charset="0"/>
                                <a:ea typeface="Cambria Math" panose="02040503050406030204" pitchFamily="18" charset="0"/>
                              </a:rPr>
                            </m:ctrlPr>
                          </m:eqArrPr>
                          <m:e>
                            <m:r>
                              <a:rPr lang="zh-CN" altLang="en-US" sz="1100" b="0" i="1">
                                <a:latin typeface="Cambria Math" panose="02040503050406030204" pitchFamily="18" charset="0"/>
                                <a:ea typeface="Cambria Math" panose="02040503050406030204" pitchFamily="18" charset="0"/>
                              </a:rPr>
                              <m:t>贯通门</m:t>
                            </m:r>
                            <m:r>
                              <a:rPr lang="en-US" altLang="zh-CN" sz="1100" b="0" i="1">
                                <a:latin typeface="Cambria Math" panose="02040503050406030204" pitchFamily="18" charset="0"/>
                                <a:ea typeface="Cambria Math" panose="02040503050406030204" pitchFamily="18" charset="0"/>
                              </a:rPr>
                              <m:t>: 0                                                                                                       </m:t>
                            </m:r>
                          </m:e>
                          <m:e>
                            <m:r>
                              <a:rPr lang="zh-CN" altLang="en-US" sz="1100" b="0" i="1">
                                <a:latin typeface="Cambria Math" panose="02040503050406030204" pitchFamily="18" charset="0"/>
                                <a:ea typeface="Cambria Math" panose="02040503050406030204" pitchFamily="18" charset="0"/>
                              </a:rPr>
                              <m:t>非贯通门：</m:t>
                            </m:r>
                            <m:d>
                              <m:dPr>
                                <m:begChr m:val="{"/>
                                <m:endChr m:val=""/>
                                <m:ctrlPr>
                                  <a:rPr lang="en-US" altLang="zh-CN" sz="1100" b="0" i="1">
                                    <a:latin typeface="Cambria Math" panose="02040503050406030204" pitchFamily="18" charset="0"/>
                                    <a:ea typeface="Cambria Math" panose="02040503050406030204" pitchFamily="18" charset="0"/>
                                  </a:rPr>
                                </m:ctrlPr>
                              </m:dPr>
                              <m:e>
                                <m:eqArr>
                                  <m:eqArrPr>
                                    <m:ctrlPr>
                                      <a:rPr lang="en-US" altLang="zh-CN" sz="1100" b="0" i="1">
                                        <a:latin typeface="Cambria Math" panose="02040503050406030204" pitchFamily="18" charset="0"/>
                                        <a:ea typeface="Cambria Math" panose="02040503050406030204" pitchFamily="18" charset="0"/>
                                      </a:rPr>
                                    </m:ctrlPr>
                                  </m:eqArrPr>
                                  <m:e>
                                    <m:r>
                                      <a:rPr lang="zh-CN" altLang="en-US" sz="1100" b="0" i="1">
                                        <a:latin typeface="Cambria Math" panose="02040503050406030204" pitchFamily="18" charset="0"/>
                                        <a:ea typeface="Cambria Math" panose="02040503050406030204" pitchFamily="18" charset="0"/>
                                      </a:rPr>
                                      <m:t>货梯：</m:t>
                                    </m:r>
                                    <m:d>
                                      <m:dPr>
                                        <m:begChr m:val="{"/>
                                        <m:endChr m:val=""/>
                                        <m:ctrlPr>
                                          <a:rPr lang="en-US" altLang="zh-CN" sz="1100" b="0" i="1">
                                            <a:solidFill>
                                              <a:schemeClr val="tx1"/>
                                            </a:solidFill>
                                            <a:effectLst/>
                                            <a:latin typeface="Cambria Math" panose="02040503050406030204" pitchFamily="18" charset="0"/>
                                            <a:ea typeface="+mn-ea"/>
                                            <a:cs typeface="+mn-cs"/>
                                          </a:rPr>
                                        </m:ctrlPr>
                                      </m:dPr>
                                      <m:e>
                                        <m:eqArr>
                                          <m:eqArrPr>
                                            <m:ctrlPr>
                                              <a:rPr lang="en-US" altLang="zh-CN" sz="1100" b="0" i="1">
                                                <a:solidFill>
                                                  <a:schemeClr val="tx1"/>
                                                </a:solidFill>
                                                <a:effectLst/>
                                                <a:latin typeface="Cambria Math" panose="02040503050406030204" pitchFamily="18" charset="0"/>
                                                <a:ea typeface="+mn-ea"/>
                                                <a:cs typeface="+mn-cs"/>
                                              </a:rPr>
                                            </m:ctrlPr>
                                          </m:eqArrPr>
                                          <m:e>
                                            <m:r>
                                              <m:rPr>
                                                <m:sty m:val="p"/>
                                              </m:rPr>
                                              <a:rPr lang="en-US" altLang="zh-CN" sz="1100" b="0" i="0">
                                                <a:solidFill>
                                                  <a:schemeClr val="tx1"/>
                                                </a:solidFill>
                                                <a:effectLst/>
                                                <a:latin typeface="Cambria Math" panose="02040503050406030204" pitchFamily="18" charset="0"/>
                                                <a:ea typeface="+mn-ea"/>
                                                <a:cs typeface="+mn-cs"/>
                                              </a:rPr>
                                              <m:t>Q</m:t>
                                            </m:r>
                                            <m:r>
                                              <a:rPr lang="en-US" altLang="zh-CN" sz="1100" b="0" i="0">
                                                <a:solidFill>
                                                  <a:schemeClr val="tx1"/>
                                                </a:solidFill>
                                                <a:effectLst/>
                                                <a:latin typeface="Cambria Math" panose="02040503050406030204" pitchFamily="18" charset="0"/>
                                                <a:ea typeface="+mn-ea"/>
                                                <a:cs typeface="+mn-cs"/>
                                              </a:rPr>
                                              <m:t>≤3000</m:t>
                                            </m:r>
                                            <m:r>
                                              <a:rPr lang="zh-CN" altLang="en-US" sz="1100" b="0" i="1">
                                                <a:solidFill>
                                                  <a:schemeClr val="tx1"/>
                                                </a:solidFill>
                                                <a:effectLst/>
                                                <a:latin typeface="Cambria Math" panose="02040503050406030204" pitchFamily="18" charset="0"/>
                                                <a:ea typeface="+mn-ea"/>
                                                <a:cs typeface="+mn-cs"/>
                                              </a:rPr>
                                              <m:t>：</m:t>
                                            </m:r>
                                            <m:r>
                                              <a:rPr lang="en-US" altLang="zh-CN" sz="1100" b="0" i="0">
                                                <a:solidFill>
                                                  <a:schemeClr val="tx1"/>
                                                </a:solidFill>
                                                <a:effectLst/>
                                                <a:latin typeface="Cambria Math" panose="02040503050406030204" pitchFamily="18" charset="0"/>
                                                <a:ea typeface="+mn-ea"/>
                                                <a:cs typeface="+mn-cs"/>
                                              </a:rPr>
                                              <m:t>115+</m:t>
                                            </m:r>
                                            <m:d>
                                              <m:dPr>
                                                <m:begChr m:val="{"/>
                                                <m:endChr m:val=""/>
                                                <m:ctrlPr>
                                                  <a:rPr lang="en-US" altLang="zh-CN" sz="1100" b="0" i="1">
                                                    <a:solidFill>
                                                      <a:schemeClr val="tx1"/>
                                                    </a:solidFill>
                                                    <a:effectLst/>
                                                    <a:latin typeface="Cambria Math" panose="02040503050406030204" pitchFamily="18" charset="0"/>
                                                    <a:ea typeface="+mn-ea"/>
                                                    <a:cs typeface="+mn-cs"/>
                                                  </a:rPr>
                                                </m:ctrlPr>
                                              </m:dPr>
                                              <m:e>
                                                <m:eqArr>
                                                  <m:eqArrPr>
                                                    <m:ctrlPr>
                                                      <a:rPr lang="en-US" altLang="zh-CN" sz="1100" b="0" i="1">
                                                        <a:solidFill>
                                                          <a:schemeClr val="tx1"/>
                                                        </a:solidFill>
                                                        <a:effectLst/>
                                                        <a:latin typeface="Cambria Math" panose="02040503050406030204" pitchFamily="18" charset="0"/>
                                                        <a:ea typeface="+mn-ea"/>
                                                        <a:cs typeface="+mn-cs"/>
                                                      </a:rPr>
                                                    </m:ctrlPr>
                                                  </m:eqArrPr>
                                                  <m:e>
                                                    <m:r>
                                                      <a:rPr lang="en-US" altLang="zh-CN" sz="1100" b="0" i="0">
                                                        <a:solidFill>
                                                          <a:schemeClr val="tx1"/>
                                                        </a:solidFill>
                                                        <a:effectLst/>
                                                        <a:latin typeface="Cambria Math" panose="02040503050406030204" pitchFamily="18" charset="0"/>
                                                        <a:ea typeface="+mn-ea"/>
                                                        <a:cs typeface="+mn-cs"/>
                                                      </a:rPr>
                                                      <m:t>80,</m:t>
                                                    </m:r>
                                                    <m:r>
                                                      <a:rPr lang="en-US" altLang="zh-CN" sz="1100" b="0" i="1">
                                                        <a:solidFill>
                                                          <a:schemeClr val="tx1"/>
                                                        </a:solidFill>
                                                        <a:effectLst/>
                                                        <a:latin typeface="Cambria Math" panose="02040503050406030204" pitchFamily="18" charset="0"/>
                                                        <a:ea typeface="+mn-ea"/>
                                                        <a:cs typeface="+mn-cs"/>
                                                      </a:rPr>
                                                      <m:t>  </m:t>
                                                    </m:r>
                                                    <m:r>
                                                      <a:rPr lang="zh-CN" altLang="en-US" sz="1100" b="0" i="1">
                                                        <a:solidFill>
                                                          <a:schemeClr val="tx1"/>
                                                        </a:solidFill>
                                                        <a:effectLst/>
                                                        <a:latin typeface="Cambria Math" panose="02040503050406030204" pitchFamily="18" charset="0"/>
                                                        <a:ea typeface="+mn-ea"/>
                                                        <a:cs typeface="+mn-cs"/>
                                                      </a:rPr>
                                                      <m:t>不开尽门</m:t>
                                                    </m:r>
                                                  </m:e>
                                                  <m:e>
                                                    <m:r>
                                                      <a:rPr lang="en-US" altLang="zh-CN" sz="1100" b="0" i="0">
                                                        <a:solidFill>
                                                          <a:schemeClr val="tx1"/>
                                                        </a:solidFill>
                                                        <a:effectLst/>
                                                        <a:latin typeface="Cambria Math" panose="02040503050406030204" pitchFamily="18" charset="0"/>
                                                        <a:ea typeface="+mn-ea"/>
                                                        <a:cs typeface="+mn-cs"/>
                                                      </a:rPr>
                                                      <m:t>40,</m:t>
                                                    </m:r>
                                                    <m:r>
                                                      <a:rPr lang="en-US" altLang="zh-CN" sz="1100" b="0" i="1">
                                                        <a:solidFill>
                                                          <a:schemeClr val="tx1"/>
                                                        </a:solidFill>
                                                        <a:effectLst/>
                                                        <a:latin typeface="Cambria Math" panose="02040503050406030204" pitchFamily="18" charset="0"/>
                                                        <a:ea typeface="+mn-ea"/>
                                                        <a:cs typeface="+mn-cs"/>
                                                      </a:rPr>
                                                      <m:t>  </m:t>
                                                    </m:r>
                                                    <m:r>
                                                      <a:rPr lang="zh-CN" altLang="en-US" sz="1100" b="0" i="1">
                                                        <a:solidFill>
                                                          <a:schemeClr val="tx1"/>
                                                        </a:solidFill>
                                                        <a:effectLst/>
                                                        <a:latin typeface="Cambria Math" panose="02040503050406030204" pitchFamily="18" charset="0"/>
                                                        <a:ea typeface="+mn-ea"/>
                                                        <a:cs typeface="+mn-cs"/>
                                                      </a:rPr>
                                                      <m:t>开尽门</m:t>
                                                    </m:r>
                                                  </m:e>
                                                </m:eqArr>
                                              </m:e>
                                            </m:d>
                                          </m:e>
                                          <m:e>
                                            <m:r>
                                              <a:rPr lang="en-US" altLang="zh-CN" sz="1100" b="0" i="0">
                                                <a:solidFill>
                                                  <a:schemeClr val="tx1"/>
                                                </a:solidFill>
                                                <a:effectLst/>
                                                <a:latin typeface="Cambria Math" panose="02040503050406030204" pitchFamily="18" charset="0"/>
                                                <a:ea typeface="+mn-ea"/>
                                                <a:cs typeface="+mn-cs"/>
                                              </a:rPr>
                                              <m:t>3000</m:t>
                                            </m:r>
                                            <m:r>
                                              <a:rPr lang="en-US" altLang="zh-CN" sz="1100" b="0" i="1">
                                                <a:solidFill>
                                                  <a:schemeClr val="tx1"/>
                                                </a:solidFill>
                                                <a:effectLst/>
                                                <a:latin typeface="Cambria Math" panose="02040503050406030204" pitchFamily="18" charset="0"/>
                                                <a:ea typeface="+mn-ea"/>
                                                <a:cs typeface="+mn-cs"/>
                                              </a:rPr>
                                              <m:t>&lt;</m:t>
                                            </m:r>
                                            <m:r>
                                              <a:rPr lang="en-US" altLang="zh-CN" sz="1100" b="0" i="1">
                                                <a:solidFill>
                                                  <a:schemeClr val="tx1"/>
                                                </a:solidFill>
                                                <a:effectLst/>
                                                <a:latin typeface="Cambria Math" panose="02040503050406030204" pitchFamily="18" charset="0"/>
                                                <a:ea typeface="+mn-ea"/>
                                                <a:cs typeface="+mn-cs"/>
                                              </a:rPr>
                                              <m:t>𝑄</m:t>
                                            </m:r>
                                            <m:r>
                                              <a:rPr lang="en-US" altLang="zh-CN" sz="1100" b="0" i="1">
                                                <a:solidFill>
                                                  <a:schemeClr val="tx1"/>
                                                </a:solidFill>
                                                <a:effectLst/>
                                                <a:latin typeface="Cambria Math" panose="02040503050406030204" pitchFamily="18" charset="0"/>
                                                <a:ea typeface="+mn-ea"/>
                                                <a:cs typeface="+mn-cs"/>
                                              </a:rPr>
                                              <m:t>≤5000</m:t>
                                            </m:r>
                                            <m:r>
                                              <a:rPr lang="en-US" altLang="zh-CN" sz="1100" b="0" i="1">
                                                <a:solidFill>
                                                  <a:schemeClr val="tx1"/>
                                                </a:solidFill>
                                                <a:effectLst/>
                                                <a:latin typeface="Cambria Math" panose="02040503050406030204" pitchFamily="18" charset="0"/>
                                                <a:ea typeface="+mn-ea"/>
                                                <a:cs typeface="+mn-cs"/>
                                              </a:rPr>
                                              <m:t>：</m:t>
                                            </m:r>
                                            <m:r>
                                              <a:rPr lang="en-US" altLang="zh-CN" sz="1100" b="0" i="0">
                                                <a:solidFill>
                                                  <a:schemeClr val="tx1"/>
                                                </a:solidFill>
                                                <a:effectLst/>
                                                <a:latin typeface="Cambria Math" panose="02040503050406030204" pitchFamily="18" charset="0"/>
                                                <a:ea typeface="+mn-ea"/>
                                                <a:cs typeface="+mn-cs"/>
                                              </a:rPr>
                                              <m:t>25+</m:t>
                                            </m:r>
                                            <m:d>
                                              <m:dPr>
                                                <m:begChr m:val="{"/>
                                                <m:endChr m:val=""/>
                                                <m:ctrlPr>
                                                  <a:rPr lang="en-US" altLang="zh-CN" sz="1100" b="0" i="1">
                                                    <a:solidFill>
                                                      <a:schemeClr val="tx1"/>
                                                    </a:solidFill>
                                                    <a:effectLst/>
                                                    <a:latin typeface="Cambria Math" panose="02040503050406030204" pitchFamily="18" charset="0"/>
                                                    <a:ea typeface="+mn-ea"/>
                                                    <a:cs typeface="+mn-cs"/>
                                                  </a:rPr>
                                                </m:ctrlPr>
                                              </m:dPr>
                                              <m:e>
                                                <m:eqArr>
                                                  <m:eqArrPr>
                                                    <m:ctrlPr>
                                                      <a:rPr lang="en-US" altLang="zh-CN" sz="1100" b="0" i="1">
                                                        <a:solidFill>
                                                          <a:schemeClr val="tx1"/>
                                                        </a:solidFill>
                                                        <a:effectLst/>
                                                        <a:latin typeface="Cambria Math" panose="02040503050406030204" pitchFamily="18" charset="0"/>
                                                        <a:ea typeface="+mn-ea"/>
                                                        <a:cs typeface="+mn-cs"/>
                                                      </a:rPr>
                                                    </m:ctrlPr>
                                                  </m:eqArrPr>
                                                  <m:e>
                                                    <m:r>
                                                      <a:rPr lang="en-US" altLang="zh-CN" sz="1100" b="0" i="0">
                                                        <a:solidFill>
                                                          <a:schemeClr val="tx1"/>
                                                        </a:solidFill>
                                                        <a:effectLst/>
                                                        <a:latin typeface="Cambria Math" panose="02040503050406030204" pitchFamily="18" charset="0"/>
                                                        <a:ea typeface="+mn-ea"/>
                                                        <a:cs typeface="+mn-cs"/>
                                                      </a:rPr>
                                                      <m:t>80,</m:t>
                                                    </m:r>
                                                    <m:r>
                                                      <a:rPr lang="en-US" altLang="zh-CN" sz="1100" b="0" i="1">
                                                        <a:solidFill>
                                                          <a:schemeClr val="tx1"/>
                                                        </a:solidFill>
                                                        <a:effectLst/>
                                                        <a:latin typeface="Cambria Math" panose="02040503050406030204" pitchFamily="18" charset="0"/>
                                                        <a:ea typeface="+mn-ea"/>
                                                        <a:cs typeface="+mn-cs"/>
                                                      </a:rPr>
                                                      <m:t>  </m:t>
                                                    </m:r>
                                                    <m:r>
                                                      <a:rPr lang="zh-CN" altLang="en-US" sz="1100" b="0" i="1">
                                                        <a:solidFill>
                                                          <a:schemeClr val="tx1"/>
                                                        </a:solidFill>
                                                        <a:effectLst/>
                                                        <a:latin typeface="Cambria Math" panose="02040503050406030204" pitchFamily="18" charset="0"/>
                                                        <a:ea typeface="+mn-ea"/>
                                                        <a:cs typeface="+mn-cs"/>
                                                      </a:rPr>
                                                      <m:t>不开尽门</m:t>
                                                    </m:r>
                                                  </m:e>
                                                  <m:e>
                                                    <m:r>
                                                      <a:rPr lang="en-US" altLang="zh-CN" sz="1100" b="0" i="0">
                                                        <a:solidFill>
                                                          <a:schemeClr val="tx1"/>
                                                        </a:solidFill>
                                                        <a:effectLst/>
                                                        <a:latin typeface="Cambria Math" panose="02040503050406030204" pitchFamily="18" charset="0"/>
                                                        <a:ea typeface="+mn-ea"/>
                                                        <a:cs typeface="+mn-cs"/>
                                                      </a:rPr>
                                                      <m:t>40,</m:t>
                                                    </m:r>
                                                    <m:r>
                                                      <a:rPr lang="en-US" altLang="zh-CN" sz="1100" b="0" i="1">
                                                        <a:solidFill>
                                                          <a:schemeClr val="tx1"/>
                                                        </a:solidFill>
                                                        <a:effectLst/>
                                                        <a:latin typeface="Cambria Math" panose="02040503050406030204" pitchFamily="18" charset="0"/>
                                                        <a:ea typeface="+mn-ea"/>
                                                        <a:cs typeface="+mn-cs"/>
                                                      </a:rPr>
                                                      <m:t>  </m:t>
                                                    </m:r>
                                                    <m:r>
                                                      <a:rPr lang="zh-CN" altLang="en-US" sz="1100" b="0" i="1">
                                                        <a:solidFill>
                                                          <a:schemeClr val="tx1"/>
                                                        </a:solidFill>
                                                        <a:effectLst/>
                                                        <a:latin typeface="Cambria Math" panose="02040503050406030204" pitchFamily="18" charset="0"/>
                                                        <a:ea typeface="+mn-ea"/>
                                                        <a:cs typeface="+mn-cs"/>
                                                      </a:rPr>
                                                      <m:t>开尽门</m:t>
                                                    </m:r>
                                                  </m:e>
                                                </m:eqArr>
                                              </m:e>
                                            </m:d>
                                          </m:e>
                                        </m:eqArr>
                                      </m:e>
                                    </m:d>
                                  </m:e>
                                  <m:e>
                                    <m:r>
                                      <a:rPr lang="en-US" altLang="zh-CN" sz="1100" b="0" i="1">
                                        <a:latin typeface="Cambria Math" panose="02040503050406030204" pitchFamily="18" charset="0"/>
                                        <a:ea typeface="Cambria Math" panose="02040503050406030204" pitchFamily="18" charset="0"/>
                                      </a:rPr>
                                      <m:t>𝐿𝑇𝐾</m:t>
                                    </m:r>
                                    <m:r>
                                      <a:rPr lang="en-US" altLang="zh-CN" sz="1100" b="0" i="1">
                                        <a:latin typeface="Cambria Math" panose="02040503050406030204" pitchFamily="18" charset="0"/>
                                        <a:ea typeface="Cambria Math" panose="02040503050406030204" pitchFamily="18" charset="0"/>
                                      </a:rPr>
                                      <m:t>: 0.5</m:t>
                                    </m:r>
                                    <m:r>
                                      <a:rPr lang="en-US" altLang="zh-CN" sz="1100" b="0" i="1">
                                        <a:latin typeface="Cambria Math" panose="02040503050406030204" pitchFamily="18" charset="0"/>
                                        <a:ea typeface="Cambria Math" panose="02040503050406030204" pitchFamily="18" charset="0"/>
                                      </a:rPr>
                                      <m:t>𝐶𝐷𝑆𝑊</m:t>
                                    </m:r>
                                    <m:r>
                                      <a:rPr lang="en-US" altLang="zh-CN" sz="1100" b="0" i="1">
                                        <a:latin typeface="Cambria Math" panose="02040503050406030204" pitchFamily="18" charset="0"/>
                                        <a:ea typeface="Cambria Math" panose="02040503050406030204" pitchFamily="18" charset="0"/>
                                      </a:rPr>
                                      <m:t>+52.5                                                         </m:t>
                                    </m:r>
                                  </m:e>
                                  <m:e>
                                    <m:r>
                                      <a:rPr lang="en-US" altLang="zh-CN" sz="1100" b="0" i="1">
                                        <a:latin typeface="Cambria Math" panose="02040503050406030204" pitchFamily="18" charset="0"/>
                                        <a:ea typeface="Cambria Math" panose="02040503050406030204" pitchFamily="18" charset="0"/>
                                      </a:rPr>
                                      <m:t>𝐸𝑉𝐼𝐾</m:t>
                                    </m:r>
                                    <m:r>
                                      <a:rPr lang="en-US" altLang="zh-CN" sz="1100" b="0" i="1">
                                        <a:latin typeface="Cambria Math" panose="02040503050406030204" pitchFamily="18" charset="0"/>
                                        <a:ea typeface="Cambria Math" panose="02040503050406030204" pitchFamily="18" charset="0"/>
                                      </a:rPr>
                                      <m:t>:</m:t>
                                    </m:r>
                                    <m:d>
                                      <m:dPr>
                                        <m:begChr m:val="{"/>
                                        <m:endChr m:val=""/>
                                        <m:ctrlPr>
                                          <a:rPr lang="en-US" altLang="zh-CN" sz="1100" b="0" i="1">
                                            <a:solidFill>
                                              <a:schemeClr val="tx1"/>
                                            </a:solidFill>
                                            <a:effectLst/>
                                            <a:latin typeface="Cambria Math" panose="02040503050406030204" pitchFamily="18" charset="0"/>
                                            <a:ea typeface="+mn-ea"/>
                                            <a:cs typeface="+mn-cs"/>
                                          </a:rPr>
                                        </m:ctrlPr>
                                      </m:dPr>
                                      <m:e>
                                        <m:eqArr>
                                          <m:eqArrPr>
                                            <m:ctrlPr>
                                              <a:rPr lang="en-US" altLang="zh-CN" sz="1100" b="0" i="1">
                                                <a:solidFill>
                                                  <a:schemeClr val="tx1"/>
                                                </a:solidFill>
                                                <a:effectLst/>
                                                <a:latin typeface="Cambria Math" panose="02040503050406030204" pitchFamily="18" charset="0"/>
                                                <a:ea typeface="+mn-ea"/>
                                                <a:cs typeface="+mn-cs"/>
                                              </a:rPr>
                                            </m:ctrlPr>
                                          </m:eqArrPr>
                                          <m:e>
                                            <m:r>
                                              <a:rPr lang="en-US" altLang="zh-CN" sz="1100" b="0" i="0">
                                                <a:solidFill>
                                                  <a:schemeClr val="tx1"/>
                                                </a:solidFill>
                                                <a:effectLst/>
                                                <a:latin typeface="Cambria Math" panose="02040503050406030204" pitchFamily="18" charset="0"/>
                                                <a:ea typeface="+mn-ea"/>
                                                <a:cs typeface="+mn-cs"/>
                                              </a:rPr>
                                              <m:t>180</m:t>
                                            </m:r>
                                            <m:r>
                                              <a:rPr lang="en-US" altLang="zh-CN" sz="1100" b="0" i="1">
                                                <a:solidFill>
                                                  <a:schemeClr val="tx1"/>
                                                </a:solidFill>
                                                <a:effectLst/>
                                                <a:latin typeface="Cambria Math" panose="02040503050406030204" pitchFamily="18" charset="0"/>
                                                <a:ea typeface="+mn-ea"/>
                                                <a:cs typeface="+mn-cs"/>
                                              </a:rPr>
                                              <m:t>, </m:t>
                                            </m:r>
                                            <m:r>
                                              <a:rPr lang="en-US" altLang="zh-CN" sz="1100" b="0" i="1">
                                                <a:solidFill>
                                                  <a:schemeClr val="tx1"/>
                                                </a:solidFill>
                                                <a:effectLst/>
                                                <a:latin typeface="Cambria Math" panose="02040503050406030204" pitchFamily="18" charset="0"/>
                                                <a:ea typeface="+mn-ea"/>
                                                <a:cs typeface="+mn-cs"/>
                                              </a:rPr>
                                              <m:t>𝑄</m:t>
                                            </m:r>
                                            <m:r>
                                              <a:rPr lang="zh-CN" altLang="en-US" sz="1100" b="0" i="1">
                                                <a:solidFill>
                                                  <a:schemeClr val="tx1"/>
                                                </a:solidFill>
                                                <a:effectLst/>
                                                <a:latin typeface="Cambria Math" panose="02040503050406030204" pitchFamily="18" charset="0"/>
                                                <a:ea typeface="+mn-ea"/>
                                                <a:cs typeface="+mn-cs"/>
                                              </a:rPr>
                                              <m:t>＜</m:t>
                                            </m:r>
                                            <m:r>
                                              <a:rPr lang="en-US" altLang="zh-CN" sz="1100" b="0" i="1">
                                                <a:solidFill>
                                                  <a:schemeClr val="tx1"/>
                                                </a:solidFill>
                                                <a:effectLst/>
                                                <a:latin typeface="Cambria Math" panose="02040503050406030204" pitchFamily="18" charset="0"/>
                                                <a:ea typeface="+mn-ea"/>
                                                <a:cs typeface="+mn-cs"/>
                                              </a:rPr>
                                              <m:t>630</m:t>
                                            </m:r>
                                            <m:r>
                                              <m:rPr>
                                                <m:sty m:val="p"/>
                                              </m:rPr>
                                              <a:rPr lang="en-US" altLang="zh-CN" sz="1100" b="0" i="1">
                                                <a:solidFill>
                                                  <a:schemeClr val="tx1"/>
                                                </a:solidFill>
                                                <a:effectLst/>
                                                <a:latin typeface="Cambria Math" panose="02040503050406030204" pitchFamily="18" charset="0"/>
                                                <a:ea typeface="+mn-ea"/>
                                                <a:cs typeface="+mn-cs"/>
                                              </a:rPr>
                                              <m:t>kg</m:t>
                                            </m:r>
                                          </m:e>
                                          <m:e>
                                            <m:r>
                                              <a:rPr lang="en-US" altLang="zh-CN" sz="1100" b="0" i="0">
                                                <a:solidFill>
                                                  <a:schemeClr val="tx1"/>
                                                </a:solidFill>
                                                <a:effectLst/>
                                                <a:latin typeface="Cambria Math" panose="02040503050406030204" pitchFamily="18" charset="0"/>
                                                <a:ea typeface="+mn-ea"/>
                                                <a:cs typeface="+mn-cs"/>
                                              </a:rPr>
                                              <m:t>130,</m:t>
                                            </m:r>
                                            <m:r>
                                              <a:rPr lang="en-US" altLang="zh-CN" sz="1100" b="0" i="1">
                                                <a:solidFill>
                                                  <a:schemeClr val="tx1"/>
                                                </a:solidFill>
                                                <a:effectLst/>
                                                <a:latin typeface="Cambria Math" panose="02040503050406030204" pitchFamily="18" charset="0"/>
                                                <a:ea typeface="+mn-ea"/>
                                                <a:cs typeface="+mn-cs"/>
                                              </a:rPr>
                                              <m:t> </m:t>
                                            </m:r>
                                            <m:r>
                                              <a:rPr lang="en-US" altLang="zh-CN" sz="1100" b="0" i="1">
                                                <a:solidFill>
                                                  <a:schemeClr val="tx1"/>
                                                </a:solidFill>
                                                <a:effectLst/>
                                                <a:latin typeface="Cambria Math" panose="02040503050406030204" pitchFamily="18" charset="0"/>
                                                <a:ea typeface="+mn-ea"/>
                                                <a:cs typeface="+mn-cs"/>
                                              </a:rPr>
                                              <m:t>𝑄</m:t>
                                            </m:r>
                                            <m:r>
                                              <a:rPr lang="zh-CN" altLang="en-US" sz="1100" b="0" i="1">
                                                <a:solidFill>
                                                  <a:schemeClr val="tx1"/>
                                                </a:solidFill>
                                                <a:effectLst/>
                                                <a:latin typeface="Cambria Math" panose="02040503050406030204" pitchFamily="18" charset="0"/>
                                                <a:ea typeface="+mn-ea"/>
                                                <a:cs typeface="+mn-cs"/>
                                              </a:rPr>
                                              <m:t>≥</m:t>
                                            </m:r>
                                            <m:r>
                                              <a:rPr lang="en-US" altLang="zh-CN" sz="1100" b="0" i="1">
                                                <a:solidFill>
                                                  <a:schemeClr val="tx1"/>
                                                </a:solidFill>
                                                <a:effectLst/>
                                                <a:latin typeface="Cambria Math" panose="02040503050406030204" pitchFamily="18" charset="0"/>
                                                <a:ea typeface="+mn-ea"/>
                                                <a:cs typeface="+mn-cs"/>
                                              </a:rPr>
                                              <m:t>630</m:t>
                                            </m:r>
                                            <m:r>
                                              <m:rPr>
                                                <m:sty m:val="p"/>
                                              </m:rPr>
                                              <a:rPr lang="en-US" altLang="zh-CN" sz="1100" b="0" i="1">
                                                <a:solidFill>
                                                  <a:schemeClr val="tx1"/>
                                                </a:solidFill>
                                                <a:effectLst/>
                                                <a:latin typeface="Cambria Math" panose="02040503050406030204" pitchFamily="18" charset="0"/>
                                                <a:ea typeface="+mn-ea"/>
                                                <a:cs typeface="+mn-cs"/>
                                              </a:rPr>
                                              <m:t>kg</m:t>
                                            </m:r>
                                          </m:e>
                                        </m:eqArr>
                                      </m:e>
                                    </m:d>
                                    <m:r>
                                      <a:rPr lang="en-US" altLang="zh-CN" sz="1100" b="0" i="1">
                                        <a:latin typeface="Cambria Math" panose="02040503050406030204" pitchFamily="18" charset="0"/>
                                        <a:ea typeface="Cambria Math" panose="02040503050406030204" pitchFamily="18" charset="0"/>
                                      </a:rPr>
                                      <m:t>                                                         </m:t>
                                    </m:r>
                                  </m:e>
                                </m:eqArr>
                              </m:e>
                            </m:d>
                          </m:e>
                        </m:eqArr>
                      </m:e>
                    </m:d>
                  </m:oMath>
                </m:oMathPara>
              </a14:m>
              <a:endParaRPr lang="en-US" altLang="zh-CN" sz="1100" i="0">
                <a:latin typeface="Cambria Math" panose="02040503050406030204" pitchFamily="18" charset="0"/>
              </a:endParaRPr>
            </a:p>
          </xdr:txBody>
        </xdr:sp>
      </mc:Choice>
      <mc:Fallback xmlns:r="http://schemas.openxmlformats.org/officeDocument/2006/relationships" xmlns="">
        <xdr:sp>
          <xdr:nvSpPr>
            <xdr:cNvPr id="32" name="TextBox 17"/>
            <xdr:cNvSpPr txBox="1"/>
          </xdr:nvSpPr>
          <xdr:spPr>
            <a:xfrm>
              <a:off x="142875" y="32855535"/>
              <a:ext cx="6853555" cy="15951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zh-CN" sz="1100" b="0">
                  <a:latin typeface="Cambria Math" panose="02040503050406030204" pitchFamily="18" charset="0"/>
                  <a:ea typeface="Cambria Math" panose="02040503050406030204" pitchFamily="18" charset="0"/>
                </a:rPr>
                <a:t>KTV</a:t>
              </a:r>
              <a:r>
                <a:rPr lang="en-US" altLang="zh-CN" sz="1100" b="0">
                  <a:latin typeface="Cambria Math" panose="02040503050406030204" pitchFamily="18" charset="0"/>
                  <a:ea typeface="Cambria Math" panose="02040503050406030204" pitchFamily="18" charset="0"/>
                </a:rPr>
                <a:t>_</a:t>
              </a:r>
              <a:r>
                <a:rPr lang="en-US" altLang="zh-CN" sz="1100" b="0">
                  <a:latin typeface="Cambria Math" panose="02040503050406030204" pitchFamily="18" charset="0"/>
                  <a:ea typeface="Cambria Math" panose="02040503050406030204" pitchFamily="18" charset="0"/>
                </a:rPr>
                <a:t>S</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0</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5</a:t>
              </a:r>
              <a:r>
                <a:rPr lang="en-US" altLang="zh-CN" sz="1100" b="0">
                  <a:latin typeface="Cambria Math" panose="02040503050406030204" pitchFamily="18" charset="0"/>
                  <a:ea typeface="Cambria Math" panose="02040503050406030204" pitchFamily="18" charset="0"/>
                </a:rPr>
                <a:t>𝐶𝐷</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a:t>
              </a:r>
              <a:r>
                <a:rPr lang="zh-CN" altLang="en-US" sz="1100" b="0">
                  <a:latin typeface="Cambria Math" panose="02040503050406030204" pitchFamily="18" charset="0"/>
                  <a:ea typeface="Cambria Math" panose="02040503050406030204" pitchFamily="18" charset="0"/>
                </a:rPr>
                <a:t>贯通门</a:t>
              </a:r>
              <a:r>
                <a:rPr lang="en-US" altLang="zh-CN" sz="1100" b="0">
                  <a:latin typeface="Cambria Math" panose="02040503050406030204" pitchFamily="18" charset="0"/>
                  <a:ea typeface="Cambria Math" panose="02040503050406030204" pitchFamily="18" charset="0"/>
                </a:rPr>
                <a:t>: </a:t>
              </a:r>
              <a:r>
                <a:rPr lang="en-US" altLang="zh-CN" sz="1100" b="0">
                  <a:latin typeface="Cambria Math" panose="02040503050406030204" pitchFamily="18" charset="0"/>
                  <a:ea typeface="Cambria Math" panose="02040503050406030204" pitchFamily="18" charset="0"/>
                </a:rPr>
                <a:t>0</a:t>
              </a:r>
              <a:r>
                <a:rPr lang="en-US" altLang="zh-CN" sz="1100" b="0">
                  <a:latin typeface="Cambria Math" panose="02040503050406030204" pitchFamily="18" charset="0"/>
                  <a:ea typeface="Cambria Math" panose="02040503050406030204" pitchFamily="18" charset="0"/>
                </a:rPr>
                <a:t>                                                                                                       </a:t>
              </a:r>
              <a:r>
                <a:rPr lang="en-US" altLang="zh-CN" sz="1100" b="0">
                  <a:latin typeface="Cambria Math" panose="02040503050406030204" pitchFamily="18" charset="0"/>
                  <a:ea typeface="Cambria Math" panose="02040503050406030204" pitchFamily="18" charset="0"/>
                </a:rPr>
                <a:t>@</a:t>
              </a:r>
              <a:r>
                <a:rPr lang="zh-CN" altLang="en-US" sz="1100" b="0">
                  <a:latin typeface="Cambria Math" panose="02040503050406030204" pitchFamily="18" charset="0"/>
                  <a:ea typeface="Cambria Math" panose="02040503050406030204" pitchFamily="18" charset="0"/>
                </a:rPr>
                <a:t>非贯通门：</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a:t>
              </a:r>
              <a:r>
                <a:rPr lang="zh-CN" altLang="en-US" sz="1100" b="0">
                  <a:latin typeface="Cambria Math" panose="02040503050406030204" pitchFamily="18" charset="0"/>
                  <a:ea typeface="Cambria Math" panose="02040503050406030204" pitchFamily="18" charset="0"/>
                </a:rPr>
                <a:t>货梯：</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Q</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3000</a:t>
              </a:r>
              <a:r>
                <a:rPr lang="zh-CN" altLang="en-US"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115</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80</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  </a:t>
              </a:r>
              <a:r>
                <a:rPr lang="zh-CN" altLang="en-US" sz="1100" b="0">
                  <a:solidFill>
                    <a:schemeClr val="tx1"/>
                  </a:solidFill>
                  <a:effectLst/>
                  <a:latin typeface="Cambria Math" panose="02040503050406030204" pitchFamily="18" charset="0"/>
                  <a:ea typeface="+mn-ea"/>
                  <a:cs typeface="+mn-cs"/>
                </a:rPr>
                <a:t>不开尽门</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40</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  </a:t>
              </a:r>
              <a:r>
                <a:rPr lang="zh-CN" altLang="en-US" sz="1100" b="0">
                  <a:solidFill>
                    <a:schemeClr val="tx1"/>
                  </a:solidFill>
                  <a:effectLst/>
                  <a:latin typeface="Cambria Math" panose="02040503050406030204" pitchFamily="18" charset="0"/>
                  <a:ea typeface="+mn-ea"/>
                  <a:cs typeface="+mn-cs"/>
                </a:rPr>
                <a:t>开尽门</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3000</a:t>
              </a:r>
              <a:r>
                <a:rPr lang="en-US" altLang="zh-CN" sz="1100" b="0">
                  <a:solidFill>
                    <a:schemeClr val="tx1"/>
                  </a:solidFill>
                  <a:effectLst/>
                  <a:latin typeface="Cambria Math" panose="02040503050406030204" pitchFamily="18" charset="0"/>
                  <a:ea typeface="+mn-ea"/>
                  <a:cs typeface="+mn-cs"/>
                </a:rPr>
                <a:t>&lt;</a:t>
              </a:r>
              <a:r>
                <a:rPr lang="en-US" altLang="zh-CN" sz="1100" b="0">
                  <a:solidFill>
                    <a:schemeClr val="tx1"/>
                  </a:solidFill>
                  <a:effectLst/>
                  <a:latin typeface="Cambria Math" panose="02040503050406030204" pitchFamily="18" charset="0"/>
                  <a:ea typeface="+mn-ea"/>
                  <a:cs typeface="+mn-cs"/>
                </a:rPr>
                <a:t>𝑄</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5000</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25</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80</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  </a:t>
              </a:r>
              <a:r>
                <a:rPr lang="zh-CN" altLang="en-US" sz="1100" b="0">
                  <a:solidFill>
                    <a:schemeClr val="tx1"/>
                  </a:solidFill>
                  <a:effectLst/>
                  <a:latin typeface="Cambria Math" panose="02040503050406030204" pitchFamily="18" charset="0"/>
                  <a:ea typeface="+mn-ea"/>
                  <a:cs typeface="+mn-cs"/>
                </a:rPr>
                <a:t>不开尽门</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40</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  </a:t>
              </a:r>
              <a:r>
                <a:rPr lang="zh-CN" altLang="en-US" sz="1100" b="0">
                  <a:solidFill>
                    <a:schemeClr val="tx1"/>
                  </a:solidFill>
                  <a:effectLst/>
                  <a:latin typeface="Cambria Math" panose="02040503050406030204" pitchFamily="18" charset="0"/>
                  <a:ea typeface="+mn-ea"/>
                  <a:cs typeface="+mn-cs"/>
                </a:rPr>
                <a:t>开尽门</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𝐿𝑇𝐾</a:t>
              </a:r>
              <a:r>
                <a:rPr lang="en-US" altLang="zh-CN" sz="1100" b="0">
                  <a:latin typeface="Cambria Math" panose="02040503050406030204" pitchFamily="18" charset="0"/>
                  <a:ea typeface="Cambria Math" panose="02040503050406030204" pitchFamily="18" charset="0"/>
                </a:rPr>
                <a:t>: </a:t>
              </a:r>
              <a:r>
                <a:rPr lang="en-US" altLang="zh-CN" sz="1100" b="0">
                  <a:latin typeface="Cambria Math" panose="02040503050406030204" pitchFamily="18" charset="0"/>
                  <a:ea typeface="Cambria Math" panose="02040503050406030204" pitchFamily="18" charset="0"/>
                </a:rPr>
                <a:t>0</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5</a:t>
              </a:r>
              <a:r>
                <a:rPr lang="en-US" altLang="zh-CN" sz="1100" b="0">
                  <a:latin typeface="Cambria Math" panose="02040503050406030204" pitchFamily="18" charset="0"/>
                  <a:ea typeface="Cambria Math" panose="02040503050406030204" pitchFamily="18" charset="0"/>
                </a:rPr>
                <a:t>𝐶𝐷𝑆𝑊</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52</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5</a:t>
              </a:r>
              <a:r>
                <a:rPr lang="en-US" altLang="zh-CN" sz="1100" b="0">
                  <a:latin typeface="Cambria Math" panose="02040503050406030204" pitchFamily="18" charset="0"/>
                  <a:ea typeface="Cambria Math" panose="02040503050406030204" pitchFamily="18" charset="0"/>
                </a:rPr>
                <a:t>                                                         </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𝐸𝑉𝐼𝐾</a:t>
              </a:r>
              <a:r>
                <a:rPr lang="en-US" altLang="zh-CN" sz="1100" b="0">
                  <a:latin typeface="Cambria Math" panose="02040503050406030204" pitchFamily="18" charset="0"/>
                  <a:ea typeface="Cambria Math" panose="02040503050406030204" pitchFamily="18" charset="0"/>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180</a:t>
              </a:r>
              <a:r>
                <a:rPr lang="en-US" altLang="zh-CN" sz="1100" b="0">
                  <a:solidFill>
                    <a:schemeClr val="tx1"/>
                  </a:solidFill>
                  <a:effectLst/>
                  <a:latin typeface="Cambria Math" panose="02040503050406030204" pitchFamily="18" charset="0"/>
                  <a:ea typeface="+mn-ea"/>
                  <a:cs typeface="+mn-cs"/>
                </a:rPr>
                <a:t>, </a:t>
              </a:r>
              <a:r>
                <a:rPr lang="en-US" altLang="zh-CN" sz="1100" b="0">
                  <a:solidFill>
                    <a:schemeClr val="tx1"/>
                  </a:solidFill>
                  <a:effectLst/>
                  <a:latin typeface="Cambria Math" panose="02040503050406030204" pitchFamily="18" charset="0"/>
                  <a:ea typeface="+mn-ea"/>
                  <a:cs typeface="+mn-cs"/>
                </a:rPr>
                <a:t>𝑄</a:t>
              </a:r>
              <a:r>
                <a:rPr lang="zh-CN" altLang="en-US"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630</a:t>
              </a:r>
              <a:r>
                <a:rPr lang="en-US" altLang="zh-CN" sz="1100" b="0">
                  <a:solidFill>
                    <a:schemeClr val="tx1"/>
                  </a:solidFill>
                  <a:effectLst/>
                  <a:latin typeface="Cambria Math" panose="02040503050406030204" pitchFamily="18" charset="0"/>
                  <a:ea typeface="+mn-ea"/>
                  <a:cs typeface="+mn-cs"/>
                </a:rPr>
                <a:t>kg</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130</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 </a:t>
              </a:r>
              <a:r>
                <a:rPr lang="en-US" altLang="zh-CN" sz="1100" b="0">
                  <a:solidFill>
                    <a:schemeClr val="tx1"/>
                  </a:solidFill>
                  <a:effectLst/>
                  <a:latin typeface="Cambria Math" panose="02040503050406030204" pitchFamily="18" charset="0"/>
                  <a:ea typeface="+mn-ea"/>
                  <a:cs typeface="+mn-cs"/>
                </a:rPr>
                <a:t>𝑄</a:t>
              </a:r>
              <a:r>
                <a:rPr lang="zh-CN" altLang="en-US"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630</a:t>
              </a:r>
              <a:r>
                <a:rPr lang="en-US" altLang="zh-CN" sz="1100" b="0">
                  <a:solidFill>
                    <a:schemeClr val="tx1"/>
                  </a:solidFill>
                  <a:effectLst/>
                  <a:latin typeface="Cambria Math" panose="02040503050406030204" pitchFamily="18" charset="0"/>
                  <a:ea typeface="+mn-ea"/>
                  <a:cs typeface="+mn-cs"/>
                </a:rPr>
                <a:t>kg</a:t>
              </a:r>
              <a:r>
                <a:rPr lang="en-US" altLang="zh-CN" sz="1100" b="0">
                  <a:solidFill>
                    <a:schemeClr val="tx1"/>
                  </a:solidFill>
                  <a:effectLst/>
                  <a:latin typeface="Cambria Math" panose="02040503050406030204" pitchFamily="18" charset="0"/>
                  <a:ea typeface="+mn-ea"/>
                  <a:cs typeface="+mn-cs"/>
                </a:rPr>
                <a:t>)</a:t>
              </a:r>
              <a:r>
                <a:rPr lang="en-US" altLang="zh-CN" sz="1100" b="0">
                  <a:solidFill>
                    <a:schemeClr val="tx1"/>
                  </a:solidFill>
                  <a:effectLst/>
                  <a:latin typeface="Cambria Math" panose="02040503050406030204" pitchFamily="18" charset="0"/>
                  <a:ea typeface="+mn-ea"/>
                  <a:cs typeface="+mn-cs"/>
                </a:rPr>
                <a:t>┤</a:t>
              </a:r>
              <a:r>
                <a:rPr lang="en-US" altLang="zh-CN" sz="1100" b="0">
                  <a:latin typeface="Cambria Math" panose="02040503050406030204" pitchFamily="18" charset="0"/>
                  <a:ea typeface="Cambria Math" panose="02040503050406030204" pitchFamily="18" charset="0"/>
                </a:rPr>
                <a:t>                                                         </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a:t>
              </a:r>
              <a:r>
                <a:rPr lang="en-US" altLang="zh-CN" sz="1100" b="0">
                  <a:latin typeface="Cambria Math" panose="02040503050406030204" pitchFamily="18" charset="0"/>
                  <a:ea typeface="Cambria Math" panose="02040503050406030204" pitchFamily="18" charset="0"/>
                </a:rPr>
                <a:t>┤</a:t>
              </a:r>
              <a:endParaRPr lang="en-US" altLang="zh-CN" sz="1100" i="0">
                <a:latin typeface="Cambria Math" panose="02040503050406030204" pitchFamily="18" charset="0"/>
              </a:endParaRPr>
            </a:p>
          </xdr:txBody>
        </xdr:sp>
      </mc:Fallback>
    </mc:AlternateContent>
    <xdr:clientData/>
  </xdr:oneCellAnchor>
  <xdr:twoCellAnchor editAs="oneCell">
    <xdr:from>
      <xdr:col>8</xdr:col>
      <xdr:colOff>120347</xdr:colOff>
      <xdr:row>0</xdr:row>
      <xdr:rowOff>107577</xdr:rowOff>
    </xdr:from>
    <xdr:to>
      <xdr:col>14</xdr:col>
      <xdr:colOff>295834</xdr:colOff>
      <xdr:row>8</xdr:row>
      <xdr:rowOff>155395</xdr:rowOff>
    </xdr:to>
    <xdr:pic>
      <xdr:nvPicPr>
        <xdr:cNvPr id="4" name="图片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8982075" y="107315"/>
          <a:ext cx="4069080" cy="4328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6350</xdr:colOff>
      <xdr:row>0</xdr:row>
      <xdr:rowOff>6350</xdr:rowOff>
    </xdr:from>
    <xdr:to>
      <xdr:col>15</xdr:col>
      <xdr:colOff>492760</xdr:colOff>
      <xdr:row>32</xdr:row>
      <xdr:rowOff>108585</xdr:rowOff>
    </xdr:to>
    <xdr:pic>
      <xdr:nvPicPr>
        <xdr:cNvPr id="2" name="图片 1" descr="IMG20230719-103146">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350" y="6350"/>
          <a:ext cx="9716135" cy="58324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PT%20Trial%20Ver.2024-0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Database"/>
      <sheetName val="轿厢&gt;井道"/>
      <sheetName val="标准配置"/>
      <sheetName val="井道尺寸数据"/>
      <sheetName val="修改记录"/>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a:spPr>
      <a:bodyPr vertOverflow="clip" horzOverflow="clip" rtlCol="0" anchor="t"/>
      <a:lstStyle>
        <a:defPPr algn="l">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1"/>
    <pageSetUpPr fitToPage="1"/>
  </sheetPr>
  <dimension ref="A1:WVS33"/>
  <sheetViews>
    <sheetView showGridLines="0" tabSelected="1" topLeftCell="A2" zoomScale="80" zoomScaleNormal="80" zoomScaleSheetLayoutView="85" workbookViewId="0">
      <selection activeCell="G18" sqref="G18"/>
    </sheetView>
  </sheetViews>
  <sheetFormatPr defaultColWidth="9" defaultRowHeight="15.75"/>
  <cols>
    <col min="1" max="1" width="1.625" style="174" customWidth="1"/>
    <col min="2" max="2" width="2.125" style="175" customWidth="1"/>
    <col min="3" max="3" width="15.625" style="174" customWidth="1"/>
    <col min="4" max="4" width="6.625" style="174" customWidth="1"/>
    <col min="5" max="5" width="15.625" style="174" customWidth="1"/>
    <col min="6" max="6" width="6.625" style="174" customWidth="1"/>
    <col min="7" max="7" width="15.625" style="174" customWidth="1"/>
    <col min="8" max="8" width="6.625" style="174" customWidth="1"/>
    <col min="9" max="9" width="15.625" style="174" customWidth="1"/>
    <col min="10" max="10" width="6.625" style="174" customWidth="1"/>
    <col min="11" max="11" width="15.625" style="174" customWidth="1"/>
    <col min="12" max="12" width="6.625" style="176" customWidth="1"/>
    <col min="13" max="13" width="15.625" style="176" customWidth="1"/>
    <col min="14" max="14" width="5.625" style="174" customWidth="1"/>
    <col min="15" max="16" width="1.625" style="174" customWidth="1"/>
    <col min="17" max="17" width="13.625" style="177" hidden="1" customWidth="1"/>
    <col min="18" max="22" width="8.625" style="177" hidden="1" customWidth="1"/>
    <col min="23" max="30" width="8.625" style="174" hidden="1" customWidth="1"/>
    <col min="31" max="31" width="8.625" style="174" customWidth="1"/>
    <col min="32" max="36" width="8.75" style="174" customWidth="1"/>
    <col min="37" max="250" width="9" style="174"/>
    <col min="251" max="251" width="1.25" style="174" customWidth="1"/>
    <col min="252" max="252" width="4.875" style="174" customWidth="1"/>
    <col min="253" max="253" width="35" style="174" customWidth="1"/>
    <col min="254" max="254" width="11.375" style="174" customWidth="1"/>
    <col min="255" max="255" width="6.625" style="174" customWidth="1"/>
    <col min="256" max="256" width="34" style="174" customWidth="1"/>
    <col min="257" max="264" width="9" style="174"/>
    <col min="265" max="265" width="6" style="174" customWidth="1"/>
    <col min="266" max="266" width="10.625" style="174" customWidth="1"/>
    <col min="267" max="267" width="9" style="174" hidden="1" customWidth="1"/>
    <col min="268" max="268" width="7.375" style="174" customWidth="1"/>
    <col min="269" max="269" width="12.25" style="174" customWidth="1"/>
    <col min="270" max="270" width="23.625" style="174" customWidth="1"/>
    <col min="271" max="506" width="9" style="174"/>
    <col min="507" max="507" width="1.25" style="174" customWidth="1"/>
    <col min="508" max="508" width="4.875" style="174" customWidth="1"/>
    <col min="509" max="509" width="35" style="174" customWidth="1"/>
    <col min="510" max="510" width="11.375" style="174" customWidth="1"/>
    <col min="511" max="511" width="6.625" style="174" customWidth="1"/>
    <col min="512" max="512" width="34" style="174" customWidth="1"/>
    <col min="513" max="520" width="9" style="174"/>
    <col min="521" max="521" width="6" style="174" customWidth="1"/>
    <col min="522" max="522" width="10.625" style="174" customWidth="1"/>
    <col min="523" max="523" width="9" style="174" hidden="1" customWidth="1"/>
    <col min="524" max="524" width="7.375" style="174" customWidth="1"/>
    <col min="525" max="525" width="12.25" style="174" customWidth="1"/>
    <col min="526" max="526" width="23.625" style="174" customWidth="1"/>
    <col min="527" max="762" width="9" style="174"/>
    <col min="763" max="763" width="1.25" style="174" customWidth="1"/>
    <col min="764" max="764" width="4.875" style="174" customWidth="1"/>
    <col min="765" max="765" width="35" style="174" customWidth="1"/>
    <col min="766" max="766" width="11.375" style="174" customWidth="1"/>
    <col min="767" max="767" width="6.625" style="174" customWidth="1"/>
    <col min="768" max="768" width="34" style="174" customWidth="1"/>
    <col min="769" max="776" width="9" style="174"/>
    <col min="777" max="777" width="6" style="174" customWidth="1"/>
    <col min="778" max="778" width="10.625" style="174" customWidth="1"/>
    <col min="779" max="779" width="9" style="174" hidden="1" customWidth="1"/>
    <col min="780" max="780" width="7.375" style="174" customWidth="1"/>
    <col min="781" max="781" width="12.25" style="174" customWidth="1"/>
    <col min="782" max="782" width="23.625" style="174" customWidth="1"/>
    <col min="783" max="1018" width="9" style="174"/>
    <col min="1019" max="1019" width="1.25" style="174" customWidth="1"/>
    <col min="1020" max="1020" width="4.875" style="174" customWidth="1"/>
    <col min="1021" max="1021" width="35" style="174" customWidth="1"/>
    <col min="1022" max="1022" width="11.375" style="174" customWidth="1"/>
    <col min="1023" max="1023" width="6.625" style="174" customWidth="1"/>
    <col min="1024" max="1024" width="34" style="174" customWidth="1"/>
    <col min="1025" max="1032" width="9" style="174"/>
    <col min="1033" max="1033" width="6" style="174" customWidth="1"/>
    <col min="1034" max="1034" width="10.625" style="174" customWidth="1"/>
    <col min="1035" max="1035" width="9" style="174" hidden="1" customWidth="1"/>
    <col min="1036" max="1036" width="7.375" style="174" customWidth="1"/>
    <col min="1037" max="1037" width="12.25" style="174" customWidth="1"/>
    <col min="1038" max="1038" width="23.625" style="174" customWidth="1"/>
    <col min="1039" max="1274" width="9" style="174"/>
    <col min="1275" max="1275" width="1.25" style="174" customWidth="1"/>
    <col min="1276" max="1276" width="4.875" style="174" customWidth="1"/>
    <col min="1277" max="1277" width="35" style="174" customWidth="1"/>
    <col min="1278" max="1278" width="11.375" style="174" customWidth="1"/>
    <col min="1279" max="1279" width="6.625" style="174" customWidth="1"/>
    <col min="1280" max="1280" width="34" style="174" customWidth="1"/>
    <col min="1281" max="1288" width="9" style="174"/>
    <col min="1289" max="1289" width="6" style="174" customWidth="1"/>
    <col min="1290" max="1290" width="10.625" style="174" customWidth="1"/>
    <col min="1291" max="1291" width="9" style="174" hidden="1" customWidth="1"/>
    <col min="1292" max="1292" width="7.375" style="174" customWidth="1"/>
    <col min="1293" max="1293" width="12.25" style="174" customWidth="1"/>
    <col min="1294" max="1294" width="23.625" style="174" customWidth="1"/>
    <col min="1295" max="1530" width="9" style="174"/>
    <col min="1531" max="1531" width="1.25" style="174" customWidth="1"/>
    <col min="1532" max="1532" width="4.875" style="174" customWidth="1"/>
    <col min="1533" max="1533" width="35" style="174" customWidth="1"/>
    <col min="1534" max="1534" width="11.375" style="174" customWidth="1"/>
    <col min="1535" max="1535" width="6.625" style="174" customWidth="1"/>
    <col min="1536" max="1536" width="34" style="174" customWidth="1"/>
    <col min="1537" max="1544" width="9" style="174"/>
    <col min="1545" max="1545" width="6" style="174" customWidth="1"/>
    <col min="1546" max="1546" width="10.625" style="174" customWidth="1"/>
    <col min="1547" max="1547" width="9" style="174" hidden="1" customWidth="1"/>
    <col min="1548" max="1548" width="7.375" style="174" customWidth="1"/>
    <col min="1549" max="1549" width="12.25" style="174" customWidth="1"/>
    <col min="1550" max="1550" width="23.625" style="174" customWidth="1"/>
    <col min="1551" max="1786" width="9" style="174"/>
    <col min="1787" max="1787" width="1.25" style="174" customWidth="1"/>
    <col min="1788" max="1788" width="4.875" style="174" customWidth="1"/>
    <col min="1789" max="1789" width="35" style="174" customWidth="1"/>
    <col min="1790" max="1790" width="11.375" style="174" customWidth="1"/>
    <col min="1791" max="1791" width="6.625" style="174" customWidth="1"/>
    <col min="1792" max="1792" width="34" style="174" customWidth="1"/>
    <col min="1793" max="1800" width="9" style="174"/>
    <col min="1801" max="1801" width="6" style="174" customWidth="1"/>
    <col min="1802" max="1802" width="10.625" style="174" customWidth="1"/>
    <col min="1803" max="1803" width="9" style="174" hidden="1" customWidth="1"/>
    <col min="1804" max="1804" width="7.375" style="174" customWidth="1"/>
    <col min="1805" max="1805" width="12.25" style="174" customWidth="1"/>
    <col min="1806" max="1806" width="23.625" style="174" customWidth="1"/>
    <col min="1807" max="2042" width="9" style="174"/>
    <col min="2043" max="2043" width="1.25" style="174" customWidth="1"/>
    <col min="2044" max="2044" width="4.875" style="174" customWidth="1"/>
    <col min="2045" max="2045" width="35" style="174" customWidth="1"/>
    <col min="2046" max="2046" width="11.375" style="174" customWidth="1"/>
    <col min="2047" max="2047" width="6.625" style="174" customWidth="1"/>
    <col min="2048" max="2048" width="34" style="174" customWidth="1"/>
    <col min="2049" max="2056" width="9" style="174"/>
    <col min="2057" max="2057" width="6" style="174" customWidth="1"/>
    <col min="2058" max="2058" width="10.625" style="174" customWidth="1"/>
    <col min="2059" max="2059" width="9" style="174" hidden="1" customWidth="1"/>
    <col min="2060" max="2060" width="7.375" style="174" customWidth="1"/>
    <col min="2061" max="2061" width="12.25" style="174" customWidth="1"/>
    <col min="2062" max="2062" width="23.625" style="174" customWidth="1"/>
    <col min="2063" max="2298" width="9" style="174"/>
    <col min="2299" max="2299" width="1.25" style="174" customWidth="1"/>
    <col min="2300" max="2300" width="4.875" style="174" customWidth="1"/>
    <col min="2301" max="2301" width="35" style="174" customWidth="1"/>
    <col min="2302" max="2302" width="11.375" style="174" customWidth="1"/>
    <col min="2303" max="2303" width="6.625" style="174" customWidth="1"/>
    <col min="2304" max="2304" width="34" style="174" customWidth="1"/>
    <col min="2305" max="2312" width="9" style="174"/>
    <col min="2313" max="2313" width="6" style="174" customWidth="1"/>
    <col min="2314" max="2314" width="10.625" style="174" customWidth="1"/>
    <col min="2315" max="2315" width="9" style="174" hidden="1" customWidth="1"/>
    <col min="2316" max="2316" width="7.375" style="174" customWidth="1"/>
    <col min="2317" max="2317" width="12.25" style="174" customWidth="1"/>
    <col min="2318" max="2318" width="23.625" style="174" customWidth="1"/>
    <col min="2319" max="2554" width="9" style="174"/>
    <col min="2555" max="2555" width="1.25" style="174" customWidth="1"/>
    <col min="2556" max="2556" width="4.875" style="174" customWidth="1"/>
    <col min="2557" max="2557" width="35" style="174" customWidth="1"/>
    <col min="2558" max="2558" width="11.375" style="174" customWidth="1"/>
    <col min="2559" max="2559" width="6.625" style="174" customWidth="1"/>
    <col min="2560" max="2560" width="34" style="174" customWidth="1"/>
    <col min="2561" max="2568" width="9" style="174"/>
    <col min="2569" max="2569" width="6" style="174" customWidth="1"/>
    <col min="2570" max="2570" width="10.625" style="174" customWidth="1"/>
    <col min="2571" max="2571" width="9" style="174" hidden="1" customWidth="1"/>
    <col min="2572" max="2572" width="7.375" style="174" customWidth="1"/>
    <col min="2573" max="2573" width="12.25" style="174" customWidth="1"/>
    <col min="2574" max="2574" width="23.625" style="174" customWidth="1"/>
    <col min="2575" max="2810" width="9" style="174"/>
    <col min="2811" max="2811" width="1.25" style="174" customWidth="1"/>
    <col min="2812" max="2812" width="4.875" style="174" customWidth="1"/>
    <col min="2813" max="2813" width="35" style="174" customWidth="1"/>
    <col min="2814" max="2814" width="11.375" style="174" customWidth="1"/>
    <col min="2815" max="2815" width="6.625" style="174" customWidth="1"/>
    <col min="2816" max="2816" width="34" style="174" customWidth="1"/>
    <col min="2817" max="2824" width="9" style="174"/>
    <col min="2825" max="2825" width="6" style="174" customWidth="1"/>
    <col min="2826" max="2826" width="10.625" style="174" customWidth="1"/>
    <col min="2827" max="2827" width="9" style="174" hidden="1" customWidth="1"/>
    <col min="2828" max="2828" width="7.375" style="174" customWidth="1"/>
    <col min="2829" max="2829" width="12.25" style="174" customWidth="1"/>
    <col min="2830" max="2830" width="23.625" style="174" customWidth="1"/>
    <col min="2831" max="3066" width="9" style="174"/>
    <col min="3067" max="3067" width="1.25" style="174" customWidth="1"/>
    <col min="3068" max="3068" width="4.875" style="174" customWidth="1"/>
    <col min="3069" max="3069" width="35" style="174" customWidth="1"/>
    <col min="3070" max="3070" width="11.375" style="174" customWidth="1"/>
    <col min="3071" max="3071" width="6.625" style="174" customWidth="1"/>
    <col min="3072" max="3072" width="34" style="174" customWidth="1"/>
    <col min="3073" max="3080" width="9" style="174"/>
    <col min="3081" max="3081" width="6" style="174" customWidth="1"/>
    <col min="3082" max="3082" width="10.625" style="174" customWidth="1"/>
    <col min="3083" max="3083" width="9" style="174" hidden="1" customWidth="1"/>
    <col min="3084" max="3084" width="7.375" style="174" customWidth="1"/>
    <col min="3085" max="3085" width="12.25" style="174" customWidth="1"/>
    <col min="3086" max="3086" width="23.625" style="174" customWidth="1"/>
    <col min="3087" max="3322" width="9" style="174"/>
    <col min="3323" max="3323" width="1.25" style="174" customWidth="1"/>
    <col min="3324" max="3324" width="4.875" style="174" customWidth="1"/>
    <col min="3325" max="3325" width="35" style="174" customWidth="1"/>
    <col min="3326" max="3326" width="11.375" style="174" customWidth="1"/>
    <col min="3327" max="3327" width="6.625" style="174" customWidth="1"/>
    <col min="3328" max="3328" width="34" style="174" customWidth="1"/>
    <col min="3329" max="3336" width="9" style="174"/>
    <col min="3337" max="3337" width="6" style="174" customWidth="1"/>
    <col min="3338" max="3338" width="10.625" style="174" customWidth="1"/>
    <col min="3339" max="3339" width="9" style="174" hidden="1" customWidth="1"/>
    <col min="3340" max="3340" width="7.375" style="174" customWidth="1"/>
    <col min="3341" max="3341" width="12.25" style="174" customWidth="1"/>
    <col min="3342" max="3342" width="23.625" style="174" customWidth="1"/>
    <col min="3343" max="3578" width="9" style="174"/>
    <col min="3579" max="3579" width="1.25" style="174" customWidth="1"/>
    <col min="3580" max="3580" width="4.875" style="174" customWidth="1"/>
    <col min="3581" max="3581" width="35" style="174" customWidth="1"/>
    <col min="3582" max="3582" width="11.375" style="174" customWidth="1"/>
    <col min="3583" max="3583" width="6.625" style="174" customWidth="1"/>
    <col min="3584" max="3584" width="34" style="174" customWidth="1"/>
    <col min="3585" max="3592" width="9" style="174"/>
    <col min="3593" max="3593" width="6" style="174" customWidth="1"/>
    <col min="3594" max="3594" width="10.625" style="174" customWidth="1"/>
    <col min="3595" max="3595" width="9" style="174" hidden="1" customWidth="1"/>
    <col min="3596" max="3596" width="7.375" style="174" customWidth="1"/>
    <col min="3597" max="3597" width="12.25" style="174" customWidth="1"/>
    <col min="3598" max="3598" width="23.625" style="174" customWidth="1"/>
    <col min="3599" max="3834" width="9" style="174"/>
    <col min="3835" max="3835" width="1.25" style="174" customWidth="1"/>
    <col min="3836" max="3836" width="4.875" style="174" customWidth="1"/>
    <col min="3837" max="3837" width="35" style="174" customWidth="1"/>
    <col min="3838" max="3838" width="11.375" style="174" customWidth="1"/>
    <col min="3839" max="3839" width="6.625" style="174" customWidth="1"/>
    <col min="3840" max="3840" width="34" style="174" customWidth="1"/>
    <col min="3841" max="3848" width="9" style="174"/>
    <col min="3849" max="3849" width="6" style="174" customWidth="1"/>
    <col min="3850" max="3850" width="10.625" style="174" customWidth="1"/>
    <col min="3851" max="3851" width="9" style="174" hidden="1" customWidth="1"/>
    <col min="3852" max="3852" width="7.375" style="174" customWidth="1"/>
    <col min="3853" max="3853" width="12.25" style="174" customWidth="1"/>
    <col min="3854" max="3854" width="23.625" style="174" customWidth="1"/>
    <col min="3855" max="4090" width="9" style="174"/>
    <col min="4091" max="4091" width="1.25" style="174" customWidth="1"/>
    <col min="4092" max="4092" width="4.875" style="174" customWidth="1"/>
    <col min="4093" max="4093" width="35" style="174" customWidth="1"/>
    <col min="4094" max="4094" width="11.375" style="174" customWidth="1"/>
    <col min="4095" max="4095" width="6.625" style="174" customWidth="1"/>
    <col min="4096" max="4096" width="34" style="174" customWidth="1"/>
    <col min="4097" max="4104" width="9" style="174"/>
    <col min="4105" max="4105" width="6" style="174" customWidth="1"/>
    <col min="4106" max="4106" width="10.625" style="174" customWidth="1"/>
    <col min="4107" max="4107" width="9" style="174" hidden="1" customWidth="1"/>
    <col min="4108" max="4108" width="7.375" style="174" customWidth="1"/>
    <col min="4109" max="4109" width="12.25" style="174" customWidth="1"/>
    <col min="4110" max="4110" width="23.625" style="174" customWidth="1"/>
    <col min="4111" max="4346" width="9" style="174"/>
    <col min="4347" max="4347" width="1.25" style="174" customWidth="1"/>
    <col min="4348" max="4348" width="4.875" style="174" customWidth="1"/>
    <col min="4349" max="4349" width="35" style="174" customWidth="1"/>
    <col min="4350" max="4350" width="11.375" style="174" customWidth="1"/>
    <col min="4351" max="4351" width="6.625" style="174" customWidth="1"/>
    <col min="4352" max="4352" width="34" style="174" customWidth="1"/>
    <col min="4353" max="4360" width="9" style="174"/>
    <col min="4361" max="4361" width="6" style="174" customWidth="1"/>
    <col min="4362" max="4362" width="10.625" style="174" customWidth="1"/>
    <col min="4363" max="4363" width="9" style="174" hidden="1" customWidth="1"/>
    <col min="4364" max="4364" width="7.375" style="174" customWidth="1"/>
    <col min="4365" max="4365" width="12.25" style="174" customWidth="1"/>
    <col min="4366" max="4366" width="23.625" style="174" customWidth="1"/>
    <col min="4367" max="4602" width="9" style="174"/>
    <col min="4603" max="4603" width="1.25" style="174" customWidth="1"/>
    <col min="4604" max="4604" width="4.875" style="174" customWidth="1"/>
    <col min="4605" max="4605" width="35" style="174" customWidth="1"/>
    <col min="4606" max="4606" width="11.375" style="174" customWidth="1"/>
    <col min="4607" max="4607" width="6.625" style="174" customWidth="1"/>
    <col min="4608" max="4608" width="34" style="174" customWidth="1"/>
    <col min="4609" max="4616" width="9" style="174"/>
    <col min="4617" max="4617" width="6" style="174" customWidth="1"/>
    <col min="4618" max="4618" width="10.625" style="174" customWidth="1"/>
    <col min="4619" max="4619" width="9" style="174" hidden="1" customWidth="1"/>
    <col min="4620" max="4620" width="7.375" style="174" customWidth="1"/>
    <col min="4621" max="4621" width="12.25" style="174" customWidth="1"/>
    <col min="4622" max="4622" width="23.625" style="174" customWidth="1"/>
    <col min="4623" max="4858" width="9" style="174"/>
    <col min="4859" max="4859" width="1.25" style="174" customWidth="1"/>
    <col min="4860" max="4860" width="4.875" style="174" customWidth="1"/>
    <col min="4861" max="4861" width="35" style="174" customWidth="1"/>
    <col min="4862" max="4862" width="11.375" style="174" customWidth="1"/>
    <col min="4863" max="4863" width="6.625" style="174" customWidth="1"/>
    <col min="4864" max="4864" width="34" style="174" customWidth="1"/>
    <col min="4865" max="4872" width="9" style="174"/>
    <col min="4873" max="4873" width="6" style="174" customWidth="1"/>
    <col min="4874" max="4874" width="10.625" style="174" customWidth="1"/>
    <col min="4875" max="4875" width="9" style="174" hidden="1" customWidth="1"/>
    <col min="4876" max="4876" width="7.375" style="174" customWidth="1"/>
    <col min="4877" max="4877" width="12.25" style="174" customWidth="1"/>
    <col min="4878" max="4878" width="23.625" style="174" customWidth="1"/>
    <col min="4879" max="5114" width="9" style="174"/>
    <col min="5115" max="5115" width="1.25" style="174" customWidth="1"/>
    <col min="5116" max="5116" width="4.875" style="174" customWidth="1"/>
    <col min="5117" max="5117" width="35" style="174" customWidth="1"/>
    <col min="5118" max="5118" width="11.375" style="174" customWidth="1"/>
    <col min="5119" max="5119" width="6.625" style="174" customWidth="1"/>
    <col min="5120" max="5120" width="34" style="174" customWidth="1"/>
    <col min="5121" max="5128" width="9" style="174"/>
    <col min="5129" max="5129" width="6" style="174" customWidth="1"/>
    <col min="5130" max="5130" width="10.625" style="174" customWidth="1"/>
    <col min="5131" max="5131" width="9" style="174" hidden="1" customWidth="1"/>
    <col min="5132" max="5132" width="7.375" style="174" customWidth="1"/>
    <col min="5133" max="5133" width="12.25" style="174" customWidth="1"/>
    <col min="5134" max="5134" width="23.625" style="174" customWidth="1"/>
    <col min="5135" max="5370" width="9" style="174"/>
    <col min="5371" max="5371" width="1.25" style="174" customWidth="1"/>
    <col min="5372" max="5372" width="4.875" style="174" customWidth="1"/>
    <col min="5373" max="5373" width="35" style="174" customWidth="1"/>
    <col min="5374" max="5374" width="11.375" style="174" customWidth="1"/>
    <col min="5375" max="5375" width="6.625" style="174" customWidth="1"/>
    <col min="5376" max="5376" width="34" style="174" customWidth="1"/>
    <col min="5377" max="5384" width="9" style="174"/>
    <col min="5385" max="5385" width="6" style="174" customWidth="1"/>
    <col min="5386" max="5386" width="10.625" style="174" customWidth="1"/>
    <col min="5387" max="5387" width="9" style="174" hidden="1" customWidth="1"/>
    <col min="5388" max="5388" width="7.375" style="174" customWidth="1"/>
    <col min="5389" max="5389" width="12.25" style="174" customWidth="1"/>
    <col min="5390" max="5390" width="23.625" style="174" customWidth="1"/>
    <col min="5391" max="5626" width="9" style="174"/>
    <col min="5627" max="5627" width="1.25" style="174" customWidth="1"/>
    <col min="5628" max="5628" width="4.875" style="174" customWidth="1"/>
    <col min="5629" max="5629" width="35" style="174" customWidth="1"/>
    <col min="5630" max="5630" width="11.375" style="174" customWidth="1"/>
    <col min="5631" max="5631" width="6.625" style="174" customWidth="1"/>
    <col min="5632" max="5632" width="34" style="174" customWidth="1"/>
    <col min="5633" max="5640" width="9" style="174"/>
    <col min="5641" max="5641" width="6" style="174" customWidth="1"/>
    <col min="5642" max="5642" width="10.625" style="174" customWidth="1"/>
    <col min="5643" max="5643" width="9" style="174" hidden="1" customWidth="1"/>
    <col min="5644" max="5644" width="7.375" style="174" customWidth="1"/>
    <col min="5645" max="5645" width="12.25" style="174" customWidth="1"/>
    <col min="5646" max="5646" width="23.625" style="174" customWidth="1"/>
    <col min="5647" max="5882" width="9" style="174"/>
    <col min="5883" max="5883" width="1.25" style="174" customWidth="1"/>
    <col min="5884" max="5884" width="4.875" style="174" customWidth="1"/>
    <col min="5885" max="5885" width="35" style="174" customWidth="1"/>
    <col min="5886" max="5886" width="11.375" style="174" customWidth="1"/>
    <col min="5887" max="5887" width="6.625" style="174" customWidth="1"/>
    <col min="5888" max="5888" width="34" style="174" customWidth="1"/>
    <col min="5889" max="5896" width="9" style="174"/>
    <col min="5897" max="5897" width="6" style="174" customWidth="1"/>
    <col min="5898" max="5898" width="10.625" style="174" customWidth="1"/>
    <col min="5899" max="5899" width="9" style="174" hidden="1" customWidth="1"/>
    <col min="5900" max="5900" width="7.375" style="174" customWidth="1"/>
    <col min="5901" max="5901" width="12.25" style="174" customWidth="1"/>
    <col min="5902" max="5902" width="23.625" style="174" customWidth="1"/>
    <col min="5903" max="6138" width="9" style="174"/>
    <col min="6139" max="6139" width="1.25" style="174" customWidth="1"/>
    <col min="6140" max="6140" width="4.875" style="174" customWidth="1"/>
    <col min="6141" max="6141" width="35" style="174" customWidth="1"/>
    <col min="6142" max="6142" width="11.375" style="174" customWidth="1"/>
    <col min="6143" max="6143" width="6.625" style="174" customWidth="1"/>
    <col min="6144" max="6144" width="34" style="174" customWidth="1"/>
    <col min="6145" max="6152" width="9" style="174"/>
    <col min="6153" max="6153" width="6" style="174" customWidth="1"/>
    <col min="6154" max="6154" width="10.625" style="174" customWidth="1"/>
    <col min="6155" max="6155" width="9" style="174" hidden="1" customWidth="1"/>
    <col min="6156" max="6156" width="7.375" style="174" customWidth="1"/>
    <col min="6157" max="6157" width="12.25" style="174" customWidth="1"/>
    <col min="6158" max="6158" width="23.625" style="174" customWidth="1"/>
    <col min="6159" max="6394" width="9" style="174"/>
    <col min="6395" max="6395" width="1.25" style="174" customWidth="1"/>
    <col min="6396" max="6396" width="4.875" style="174" customWidth="1"/>
    <col min="6397" max="6397" width="35" style="174" customWidth="1"/>
    <col min="6398" max="6398" width="11.375" style="174" customWidth="1"/>
    <col min="6399" max="6399" width="6.625" style="174" customWidth="1"/>
    <col min="6400" max="6400" width="34" style="174" customWidth="1"/>
    <col min="6401" max="6408" width="9" style="174"/>
    <col min="6409" max="6409" width="6" style="174" customWidth="1"/>
    <col min="6410" max="6410" width="10.625" style="174" customWidth="1"/>
    <col min="6411" max="6411" width="9" style="174" hidden="1" customWidth="1"/>
    <col min="6412" max="6412" width="7.375" style="174" customWidth="1"/>
    <col min="6413" max="6413" width="12.25" style="174" customWidth="1"/>
    <col min="6414" max="6414" width="23.625" style="174" customWidth="1"/>
    <col min="6415" max="6650" width="9" style="174"/>
    <col min="6651" max="6651" width="1.25" style="174" customWidth="1"/>
    <col min="6652" max="6652" width="4.875" style="174" customWidth="1"/>
    <col min="6653" max="6653" width="35" style="174" customWidth="1"/>
    <col min="6654" max="6654" width="11.375" style="174" customWidth="1"/>
    <col min="6655" max="6655" width="6.625" style="174" customWidth="1"/>
    <col min="6656" max="6656" width="34" style="174" customWidth="1"/>
    <col min="6657" max="6664" width="9" style="174"/>
    <col min="6665" max="6665" width="6" style="174" customWidth="1"/>
    <col min="6666" max="6666" width="10.625" style="174" customWidth="1"/>
    <col min="6667" max="6667" width="9" style="174" hidden="1" customWidth="1"/>
    <col min="6668" max="6668" width="7.375" style="174" customWidth="1"/>
    <col min="6669" max="6669" width="12.25" style="174" customWidth="1"/>
    <col min="6670" max="6670" width="23.625" style="174" customWidth="1"/>
    <col min="6671" max="6906" width="9" style="174"/>
    <col min="6907" max="6907" width="1.25" style="174" customWidth="1"/>
    <col min="6908" max="6908" width="4.875" style="174" customWidth="1"/>
    <col min="6909" max="6909" width="35" style="174" customWidth="1"/>
    <col min="6910" max="6910" width="11.375" style="174" customWidth="1"/>
    <col min="6911" max="6911" width="6.625" style="174" customWidth="1"/>
    <col min="6912" max="6912" width="34" style="174" customWidth="1"/>
    <col min="6913" max="6920" width="9" style="174"/>
    <col min="6921" max="6921" width="6" style="174" customWidth="1"/>
    <col min="6922" max="6922" width="10.625" style="174" customWidth="1"/>
    <col min="6923" max="6923" width="9" style="174" hidden="1" customWidth="1"/>
    <col min="6924" max="6924" width="7.375" style="174" customWidth="1"/>
    <col min="6925" max="6925" width="12.25" style="174" customWidth="1"/>
    <col min="6926" max="6926" width="23.625" style="174" customWidth="1"/>
    <col min="6927" max="7162" width="9" style="174"/>
    <col min="7163" max="7163" width="1.25" style="174" customWidth="1"/>
    <col min="7164" max="7164" width="4.875" style="174" customWidth="1"/>
    <col min="7165" max="7165" width="35" style="174" customWidth="1"/>
    <col min="7166" max="7166" width="11.375" style="174" customWidth="1"/>
    <col min="7167" max="7167" width="6.625" style="174" customWidth="1"/>
    <col min="7168" max="7168" width="34" style="174" customWidth="1"/>
    <col min="7169" max="7176" width="9" style="174"/>
    <col min="7177" max="7177" width="6" style="174" customWidth="1"/>
    <col min="7178" max="7178" width="10.625" style="174" customWidth="1"/>
    <col min="7179" max="7179" width="9" style="174" hidden="1" customWidth="1"/>
    <col min="7180" max="7180" width="7.375" style="174" customWidth="1"/>
    <col min="7181" max="7181" width="12.25" style="174" customWidth="1"/>
    <col min="7182" max="7182" width="23.625" style="174" customWidth="1"/>
    <col min="7183" max="7418" width="9" style="174"/>
    <col min="7419" max="7419" width="1.25" style="174" customWidth="1"/>
    <col min="7420" max="7420" width="4.875" style="174" customWidth="1"/>
    <col min="7421" max="7421" width="35" style="174" customWidth="1"/>
    <col min="7422" max="7422" width="11.375" style="174" customWidth="1"/>
    <col min="7423" max="7423" width="6.625" style="174" customWidth="1"/>
    <col min="7424" max="7424" width="34" style="174" customWidth="1"/>
    <col min="7425" max="7432" width="9" style="174"/>
    <col min="7433" max="7433" width="6" style="174" customWidth="1"/>
    <col min="7434" max="7434" width="10.625" style="174" customWidth="1"/>
    <col min="7435" max="7435" width="9" style="174" hidden="1" customWidth="1"/>
    <col min="7436" max="7436" width="7.375" style="174" customWidth="1"/>
    <col min="7437" max="7437" width="12.25" style="174" customWidth="1"/>
    <col min="7438" max="7438" width="23.625" style="174" customWidth="1"/>
    <col min="7439" max="7674" width="9" style="174"/>
    <col min="7675" max="7675" width="1.25" style="174" customWidth="1"/>
    <col min="7676" max="7676" width="4.875" style="174" customWidth="1"/>
    <col min="7677" max="7677" width="35" style="174" customWidth="1"/>
    <col min="7678" max="7678" width="11.375" style="174" customWidth="1"/>
    <col min="7679" max="7679" width="6.625" style="174" customWidth="1"/>
    <col min="7680" max="7680" width="34" style="174" customWidth="1"/>
    <col min="7681" max="7688" width="9" style="174"/>
    <col min="7689" max="7689" width="6" style="174" customWidth="1"/>
    <col min="7690" max="7690" width="10.625" style="174" customWidth="1"/>
    <col min="7691" max="7691" width="9" style="174" hidden="1" customWidth="1"/>
    <col min="7692" max="7692" width="7.375" style="174" customWidth="1"/>
    <col min="7693" max="7693" width="12.25" style="174" customWidth="1"/>
    <col min="7694" max="7694" width="23.625" style="174" customWidth="1"/>
    <col min="7695" max="7930" width="9" style="174"/>
    <col min="7931" max="7931" width="1.25" style="174" customWidth="1"/>
    <col min="7932" max="7932" width="4.875" style="174" customWidth="1"/>
    <col min="7933" max="7933" width="35" style="174" customWidth="1"/>
    <col min="7934" max="7934" width="11.375" style="174" customWidth="1"/>
    <col min="7935" max="7935" width="6.625" style="174" customWidth="1"/>
    <col min="7936" max="7936" width="34" style="174" customWidth="1"/>
    <col min="7937" max="7944" width="9" style="174"/>
    <col min="7945" max="7945" width="6" style="174" customWidth="1"/>
    <col min="7946" max="7946" width="10.625" style="174" customWidth="1"/>
    <col min="7947" max="7947" width="9" style="174" hidden="1" customWidth="1"/>
    <col min="7948" max="7948" width="7.375" style="174" customWidth="1"/>
    <col min="7949" max="7949" width="12.25" style="174" customWidth="1"/>
    <col min="7950" max="7950" width="23.625" style="174" customWidth="1"/>
    <col min="7951" max="8186" width="9" style="174"/>
    <col min="8187" max="8187" width="1.25" style="174" customWidth="1"/>
    <col min="8188" max="8188" width="4.875" style="174" customWidth="1"/>
    <col min="8189" max="8189" width="35" style="174" customWidth="1"/>
    <col min="8190" max="8190" width="11.375" style="174" customWidth="1"/>
    <col min="8191" max="8191" width="6.625" style="174" customWidth="1"/>
    <col min="8192" max="8192" width="34" style="174" customWidth="1"/>
    <col min="8193" max="8200" width="9" style="174"/>
    <col min="8201" max="8201" width="6" style="174" customWidth="1"/>
    <col min="8202" max="8202" width="10.625" style="174" customWidth="1"/>
    <col min="8203" max="8203" width="9" style="174" hidden="1" customWidth="1"/>
    <col min="8204" max="8204" width="7.375" style="174" customWidth="1"/>
    <col min="8205" max="8205" width="12.25" style="174" customWidth="1"/>
    <col min="8206" max="8206" width="23.625" style="174" customWidth="1"/>
    <col min="8207" max="8442" width="9" style="174"/>
    <col min="8443" max="8443" width="1.25" style="174" customWidth="1"/>
    <col min="8444" max="8444" width="4.875" style="174" customWidth="1"/>
    <col min="8445" max="8445" width="35" style="174" customWidth="1"/>
    <col min="8446" max="8446" width="11.375" style="174" customWidth="1"/>
    <col min="8447" max="8447" width="6.625" style="174" customWidth="1"/>
    <col min="8448" max="8448" width="34" style="174" customWidth="1"/>
    <col min="8449" max="8456" width="9" style="174"/>
    <col min="8457" max="8457" width="6" style="174" customWidth="1"/>
    <col min="8458" max="8458" width="10.625" style="174" customWidth="1"/>
    <col min="8459" max="8459" width="9" style="174" hidden="1" customWidth="1"/>
    <col min="8460" max="8460" width="7.375" style="174" customWidth="1"/>
    <col min="8461" max="8461" width="12.25" style="174" customWidth="1"/>
    <col min="8462" max="8462" width="23.625" style="174" customWidth="1"/>
    <col min="8463" max="8698" width="9" style="174"/>
    <col min="8699" max="8699" width="1.25" style="174" customWidth="1"/>
    <col min="8700" max="8700" width="4.875" style="174" customWidth="1"/>
    <col min="8701" max="8701" width="35" style="174" customWidth="1"/>
    <col min="8702" max="8702" width="11.375" style="174" customWidth="1"/>
    <col min="8703" max="8703" width="6.625" style="174" customWidth="1"/>
    <col min="8704" max="8704" width="34" style="174" customWidth="1"/>
    <col min="8705" max="8712" width="9" style="174"/>
    <col min="8713" max="8713" width="6" style="174" customWidth="1"/>
    <col min="8714" max="8714" width="10.625" style="174" customWidth="1"/>
    <col min="8715" max="8715" width="9" style="174" hidden="1" customWidth="1"/>
    <col min="8716" max="8716" width="7.375" style="174" customWidth="1"/>
    <col min="8717" max="8717" width="12.25" style="174" customWidth="1"/>
    <col min="8718" max="8718" width="23.625" style="174" customWidth="1"/>
    <col min="8719" max="8954" width="9" style="174"/>
    <col min="8955" max="8955" width="1.25" style="174" customWidth="1"/>
    <col min="8956" max="8956" width="4.875" style="174" customWidth="1"/>
    <col min="8957" max="8957" width="35" style="174" customWidth="1"/>
    <col min="8958" max="8958" width="11.375" style="174" customWidth="1"/>
    <col min="8959" max="8959" width="6.625" style="174" customWidth="1"/>
    <col min="8960" max="8960" width="34" style="174" customWidth="1"/>
    <col min="8961" max="8968" width="9" style="174"/>
    <col min="8969" max="8969" width="6" style="174" customWidth="1"/>
    <col min="8970" max="8970" width="10.625" style="174" customWidth="1"/>
    <col min="8971" max="8971" width="9" style="174" hidden="1" customWidth="1"/>
    <col min="8972" max="8972" width="7.375" style="174" customWidth="1"/>
    <col min="8973" max="8973" width="12.25" style="174" customWidth="1"/>
    <col min="8974" max="8974" width="23.625" style="174" customWidth="1"/>
    <col min="8975" max="9210" width="9" style="174"/>
    <col min="9211" max="9211" width="1.25" style="174" customWidth="1"/>
    <col min="9212" max="9212" width="4.875" style="174" customWidth="1"/>
    <col min="9213" max="9213" width="35" style="174" customWidth="1"/>
    <col min="9214" max="9214" width="11.375" style="174" customWidth="1"/>
    <col min="9215" max="9215" width="6.625" style="174" customWidth="1"/>
    <col min="9216" max="9216" width="34" style="174" customWidth="1"/>
    <col min="9217" max="9224" width="9" style="174"/>
    <col min="9225" max="9225" width="6" style="174" customWidth="1"/>
    <col min="9226" max="9226" width="10.625" style="174" customWidth="1"/>
    <col min="9227" max="9227" width="9" style="174" hidden="1" customWidth="1"/>
    <col min="9228" max="9228" width="7.375" style="174" customWidth="1"/>
    <col min="9229" max="9229" width="12.25" style="174" customWidth="1"/>
    <col min="9230" max="9230" width="23.625" style="174" customWidth="1"/>
    <col min="9231" max="9466" width="9" style="174"/>
    <col min="9467" max="9467" width="1.25" style="174" customWidth="1"/>
    <col min="9468" max="9468" width="4.875" style="174" customWidth="1"/>
    <col min="9469" max="9469" width="35" style="174" customWidth="1"/>
    <col min="9470" max="9470" width="11.375" style="174" customWidth="1"/>
    <col min="9471" max="9471" width="6.625" style="174" customWidth="1"/>
    <col min="9472" max="9472" width="34" style="174" customWidth="1"/>
    <col min="9473" max="9480" width="9" style="174"/>
    <col min="9481" max="9481" width="6" style="174" customWidth="1"/>
    <col min="9482" max="9482" width="10.625" style="174" customWidth="1"/>
    <col min="9483" max="9483" width="9" style="174" hidden="1" customWidth="1"/>
    <col min="9484" max="9484" width="7.375" style="174" customWidth="1"/>
    <col min="9485" max="9485" width="12.25" style="174" customWidth="1"/>
    <col min="9486" max="9486" width="23.625" style="174" customWidth="1"/>
    <col min="9487" max="9722" width="9" style="174"/>
    <col min="9723" max="9723" width="1.25" style="174" customWidth="1"/>
    <col min="9724" max="9724" width="4.875" style="174" customWidth="1"/>
    <col min="9725" max="9725" width="35" style="174" customWidth="1"/>
    <col min="9726" max="9726" width="11.375" style="174" customWidth="1"/>
    <col min="9727" max="9727" width="6.625" style="174" customWidth="1"/>
    <col min="9728" max="9728" width="34" style="174" customWidth="1"/>
    <col min="9729" max="9736" width="9" style="174"/>
    <col min="9737" max="9737" width="6" style="174" customWidth="1"/>
    <col min="9738" max="9738" width="10.625" style="174" customWidth="1"/>
    <col min="9739" max="9739" width="9" style="174" hidden="1" customWidth="1"/>
    <col min="9740" max="9740" width="7.375" style="174" customWidth="1"/>
    <col min="9741" max="9741" width="12.25" style="174" customWidth="1"/>
    <col min="9742" max="9742" width="23.625" style="174" customWidth="1"/>
    <col min="9743" max="9978" width="9" style="174"/>
    <col min="9979" max="9979" width="1.25" style="174" customWidth="1"/>
    <col min="9980" max="9980" width="4.875" style="174" customWidth="1"/>
    <col min="9981" max="9981" width="35" style="174" customWidth="1"/>
    <col min="9982" max="9982" width="11.375" style="174" customWidth="1"/>
    <col min="9983" max="9983" width="6.625" style="174" customWidth="1"/>
    <col min="9984" max="9984" width="34" style="174" customWidth="1"/>
    <col min="9985" max="9992" width="9" style="174"/>
    <col min="9993" max="9993" width="6" style="174" customWidth="1"/>
    <col min="9994" max="9994" width="10.625" style="174" customWidth="1"/>
    <col min="9995" max="9995" width="9" style="174" hidden="1" customWidth="1"/>
    <col min="9996" max="9996" width="7.375" style="174" customWidth="1"/>
    <col min="9997" max="9997" width="12.25" style="174" customWidth="1"/>
    <col min="9998" max="9998" width="23.625" style="174" customWidth="1"/>
    <col min="9999" max="10234" width="9" style="174"/>
    <col min="10235" max="10235" width="1.25" style="174" customWidth="1"/>
    <col min="10236" max="10236" width="4.875" style="174" customWidth="1"/>
    <col min="10237" max="10237" width="35" style="174" customWidth="1"/>
    <col min="10238" max="10238" width="11.375" style="174" customWidth="1"/>
    <col min="10239" max="10239" width="6.625" style="174" customWidth="1"/>
    <col min="10240" max="10240" width="34" style="174" customWidth="1"/>
    <col min="10241" max="10248" width="9" style="174"/>
    <col min="10249" max="10249" width="6" style="174" customWidth="1"/>
    <col min="10250" max="10250" width="10.625" style="174" customWidth="1"/>
    <col min="10251" max="10251" width="9" style="174" hidden="1" customWidth="1"/>
    <col min="10252" max="10252" width="7.375" style="174" customWidth="1"/>
    <col min="10253" max="10253" width="12.25" style="174" customWidth="1"/>
    <col min="10254" max="10254" width="23.625" style="174" customWidth="1"/>
    <col min="10255" max="10490" width="9" style="174"/>
    <col min="10491" max="10491" width="1.25" style="174" customWidth="1"/>
    <col min="10492" max="10492" width="4.875" style="174" customWidth="1"/>
    <col min="10493" max="10493" width="35" style="174" customWidth="1"/>
    <col min="10494" max="10494" width="11.375" style="174" customWidth="1"/>
    <col min="10495" max="10495" width="6.625" style="174" customWidth="1"/>
    <col min="10496" max="10496" width="34" style="174" customWidth="1"/>
    <col min="10497" max="10504" width="9" style="174"/>
    <col min="10505" max="10505" width="6" style="174" customWidth="1"/>
    <col min="10506" max="10506" width="10.625" style="174" customWidth="1"/>
    <col min="10507" max="10507" width="9" style="174" hidden="1" customWidth="1"/>
    <col min="10508" max="10508" width="7.375" style="174" customWidth="1"/>
    <col min="10509" max="10509" width="12.25" style="174" customWidth="1"/>
    <col min="10510" max="10510" width="23.625" style="174" customWidth="1"/>
    <col min="10511" max="10746" width="9" style="174"/>
    <col min="10747" max="10747" width="1.25" style="174" customWidth="1"/>
    <col min="10748" max="10748" width="4.875" style="174" customWidth="1"/>
    <col min="10749" max="10749" width="35" style="174" customWidth="1"/>
    <col min="10750" max="10750" width="11.375" style="174" customWidth="1"/>
    <col min="10751" max="10751" width="6.625" style="174" customWidth="1"/>
    <col min="10752" max="10752" width="34" style="174" customWidth="1"/>
    <col min="10753" max="10760" width="9" style="174"/>
    <col min="10761" max="10761" width="6" style="174" customWidth="1"/>
    <col min="10762" max="10762" width="10.625" style="174" customWidth="1"/>
    <col min="10763" max="10763" width="9" style="174" hidden="1" customWidth="1"/>
    <col min="10764" max="10764" width="7.375" style="174" customWidth="1"/>
    <col min="10765" max="10765" width="12.25" style="174" customWidth="1"/>
    <col min="10766" max="10766" width="23.625" style="174" customWidth="1"/>
    <col min="10767" max="11002" width="9" style="174"/>
    <col min="11003" max="11003" width="1.25" style="174" customWidth="1"/>
    <col min="11004" max="11004" width="4.875" style="174" customWidth="1"/>
    <col min="11005" max="11005" width="35" style="174" customWidth="1"/>
    <col min="11006" max="11006" width="11.375" style="174" customWidth="1"/>
    <col min="11007" max="11007" width="6.625" style="174" customWidth="1"/>
    <col min="11008" max="11008" width="34" style="174" customWidth="1"/>
    <col min="11009" max="11016" width="9" style="174"/>
    <col min="11017" max="11017" width="6" style="174" customWidth="1"/>
    <col min="11018" max="11018" width="10.625" style="174" customWidth="1"/>
    <col min="11019" max="11019" width="9" style="174" hidden="1" customWidth="1"/>
    <col min="11020" max="11020" width="7.375" style="174" customWidth="1"/>
    <col min="11021" max="11021" width="12.25" style="174" customWidth="1"/>
    <col min="11022" max="11022" width="23.625" style="174" customWidth="1"/>
    <col min="11023" max="11258" width="9" style="174"/>
    <col min="11259" max="11259" width="1.25" style="174" customWidth="1"/>
    <col min="11260" max="11260" width="4.875" style="174" customWidth="1"/>
    <col min="11261" max="11261" width="35" style="174" customWidth="1"/>
    <col min="11262" max="11262" width="11.375" style="174" customWidth="1"/>
    <col min="11263" max="11263" width="6.625" style="174" customWidth="1"/>
    <col min="11264" max="11264" width="34" style="174" customWidth="1"/>
    <col min="11265" max="11272" width="9" style="174"/>
    <col min="11273" max="11273" width="6" style="174" customWidth="1"/>
    <col min="11274" max="11274" width="10.625" style="174" customWidth="1"/>
    <col min="11275" max="11275" width="9" style="174" hidden="1" customWidth="1"/>
    <col min="11276" max="11276" width="7.375" style="174" customWidth="1"/>
    <col min="11277" max="11277" width="12.25" style="174" customWidth="1"/>
    <col min="11278" max="11278" width="23.625" style="174" customWidth="1"/>
    <col min="11279" max="11514" width="9" style="174"/>
    <col min="11515" max="11515" width="1.25" style="174" customWidth="1"/>
    <col min="11516" max="11516" width="4.875" style="174" customWidth="1"/>
    <col min="11517" max="11517" width="35" style="174" customWidth="1"/>
    <col min="11518" max="11518" width="11.375" style="174" customWidth="1"/>
    <col min="11519" max="11519" width="6.625" style="174" customWidth="1"/>
    <col min="11520" max="11520" width="34" style="174" customWidth="1"/>
    <col min="11521" max="11528" width="9" style="174"/>
    <col min="11529" max="11529" width="6" style="174" customWidth="1"/>
    <col min="11530" max="11530" width="10.625" style="174" customWidth="1"/>
    <col min="11531" max="11531" width="9" style="174" hidden="1" customWidth="1"/>
    <col min="11532" max="11532" width="7.375" style="174" customWidth="1"/>
    <col min="11533" max="11533" width="12.25" style="174" customWidth="1"/>
    <col min="11534" max="11534" width="23.625" style="174" customWidth="1"/>
    <col min="11535" max="11770" width="9" style="174"/>
    <col min="11771" max="11771" width="1.25" style="174" customWidth="1"/>
    <col min="11772" max="11772" width="4.875" style="174" customWidth="1"/>
    <col min="11773" max="11773" width="35" style="174" customWidth="1"/>
    <col min="11774" max="11774" width="11.375" style="174" customWidth="1"/>
    <col min="11775" max="11775" width="6.625" style="174" customWidth="1"/>
    <col min="11776" max="11776" width="34" style="174" customWidth="1"/>
    <col min="11777" max="11784" width="9" style="174"/>
    <col min="11785" max="11785" width="6" style="174" customWidth="1"/>
    <col min="11786" max="11786" width="10.625" style="174" customWidth="1"/>
    <col min="11787" max="11787" width="9" style="174" hidden="1" customWidth="1"/>
    <col min="11788" max="11788" width="7.375" style="174" customWidth="1"/>
    <col min="11789" max="11789" width="12.25" style="174" customWidth="1"/>
    <col min="11790" max="11790" width="23.625" style="174" customWidth="1"/>
    <col min="11791" max="12026" width="9" style="174"/>
    <col min="12027" max="12027" width="1.25" style="174" customWidth="1"/>
    <col min="12028" max="12028" width="4.875" style="174" customWidth="1"/>
    <col min="12029" max="12029" width="35" style="174" customWidth="1"/>
    <col min="12030" max="12030" width="11.375" style="174" customWidth="1"/>
    <col min="12031" max="12031" width="6.625" style="174" customWidth="1"/>
    <col min="12032" max="12032" width="34" style="174" customWidth="1"/>
    <col min="12033" max="12040" width="9" style="174"/>
    <col min="12041" max="12041" width="6" style="174" customWidth="1"/>
    <col min="12042" max="12042" width="10.625" style="174" customWidth="1"/>
    <col min="12043" max="12043" width="9" style="174" hidden="1" customWidth="1"/>
    <col min="12044" max="12044" width="7.375" style="174" customWidth="1"/>
    <col min="12045" max="12045" width="12.25" style="174" customWidth="1"/>
    <col min="12046" max="12046" width="23.625" style="174" customWidth="1"/>
    <col min="12047" max="12282" width="9" style="174"/>
    <col min="12283" max="12283" width="1.25" style="174" customWidth="1"/>
    <col min="12284" max="12284" width="4.875" style="174" customWidth="1"/>
    <col min="12285" max="12285" width="35" style="174" customWidth="1"/>
    <col min="12286" max="12286" width="11.375" style="174" customWidth="1"/>
    <col min="12287" max="12287" width="6.625" style="174" customWidth="1"/>
    <col min="12288" max="12288" width="34" style="174" customWidth="1"/>
    <col min="12289" max="12296" width="9" style="174"/>
    <col min="12297" max="12297" width="6" style="174" customWidth="1"/>
    <col min="12298" max="12298" width="10.625" style="174" customWidth="1"/>
    <col min="12299" max="12299" width="9" style="174" hidden="1" customWidth="1"/>
    <col min="12300" max="12300" width="7.375" style="174" customWidth="1"/>
    <col min="12301" max="12301" width="12.25" style="174" customWidth="1"/>
    <col min="12302" max="12302" width="23.625" style="174" customWidth="1"/>
    <col min="12303" max="12538" width="9" style="174"/>
    <col min="12539" max="12539" width="1.25" style="174" customWidth="1"/>
    <col min="12540" max="12540" width="4.875" style="174" customWidth="1"/>
    <col min="12541" max="12541" width="35" style="174" customWidth="1"/>
    <col min="12542" max="12542" width="11.375" style="174" customWidth="1"/>
    <col min="12543" max="12543" width="6.625" style="174" customWidth="1"/>
    <col min="12544" max="12544" width="34" style="174" customWidth="1"/>
    <col min="12545" max="12552" width="9" style="174"/>
    <col min="12553" max="12553" width="6" style="174" customWidth="1"/>
    <col min="12554" max="12554" width="10.625" style="174" customWidth="1"/>
    <col min="12555" max="12555" width="9" style="174" hidden="1" customWidth="1"/>
    <col min="12556" max="12556" width="7.375" style="174" customWidth="1"/>
    <col min="12557" max="12557" width="12.25" style="174" customWidth="1"/>
    <col min="12558" max="12558" width="23.625" style="174" customWidth="1"/>
    <col min="12559" max="12794" width="9" style="174"/>
    <col min="12795" max="12795" width="1.25" style="174" customWidth="1"/>
    <col min="12796" max="12796" width="4.875" style="174" customWidth="1"/>
    <col min="12797" max="12797" width="35" style="174" customWidth="1"/>
    <col min="12798" max="12798" width="11.375" style="174" customWidth="1"/>
    <col min="12799" max="12799" width="6.625" style="174" customWidth="1"/>
    <col min="12800" max="12800" width="34" style="174" customWidth="1"/>
    <col min="12801" max="12808" width="9" style="174"/>
    <col min="12809" max="12809" width="6" style="174" customWidth="1"/>
    <col min="12810" max="12810" width="10.625" style="174" customWidth="1"/>
    <col min="12811" max="12811" width="9" style="174" hidden="1" customWidth="1"/>
    <col min="12812" max="12812" width="7.375" style="174" customWidth="1"/>
    <col min="12813" max="12813" width="12.25" style="174" customWidth="1"/>
    <col min="12814" max="12814" width="23.625" style="174" customWidth="1"/>
    <col min="12815" max="13050" width="9" style="174"/>
    <col min="13051" max="13051" width="1.25" style="174" customWidth="1"/>
    <col min="13052" max="13052" width="4.875" style="174" customWidth="1"/>
    <col min="13053" max="13053" width="35" style="174" customWidth="1"/>
    <col min="13054" max="13054" width="11.375" style="174" customWidth="1"/>
    <col min="13055" max="13055" width="6.625" style="174" customWidth="1"/>
    <col min="13056" max="13056" width="34" style="174" customWidth="1"/>
    <col min="13057" max="13064" width="9" style="174"/>
    <col min="13065" max="13065" width="6" style="174" customWidth="1"/>
    <col min="13066" max="13066" width="10.625" style="174" customWidth="1"/>
    <col min="13067" max="13067" width="9" style="174" hidden="1" customWidth="1"/>
    <col min="13068" max="13068" width="7.375" style="174" customWidth="1"/>
    <col min="13069" max="13069" width="12.25" style="174" customWidth="1"/>
    <col min="13070" max="13070" width="23.625" style="174" customWidth="1"/>
    <col min="13071" max="13306" width="9" style="174"/>
    <col min="13307" max="13307" width="1.25" style="174" customWidth="1"/>
    <col min="13308" max="13308" width="4.875" style="174" customWidth="1"/>
    <col min="13309" max="13309" width="35" style="174" customWidth="1"/>
    <col min="13310" max="13310" width="11.375" style="174" customWidth="1"/>
    <col min="13311" max="13311" width="6.625" style="174" customWidth="1"/>
    <col min="13312" max="13312" width="34" style="174" customWidth="1"/>
    <col min="13313" max="13320" width="9" style="174"/>
    <col min="13321" max="13321" width="6" style="174" customWidth="1"/>
    <col min="13322" max="13322" width="10.625" style="174" customWidth="1"/>
    <col min="13323" max="13323" width="9" style="174" hidden="1" customWidth="1"/>
    <col min="13324" max="13324" width="7.375" style="174" customWidth="1"/>
    <col min="13325" max="13325" width="12.25" style="174" customWidth="1"/>
    <col min="13326" max="13326" width="23.625" style="174" customWidth="1"/>
    <col min="13327" max="13562" width="9" style="174"/>
    <col min="13563" max="13563" width="1.25" style="174" customWidth="1"/>
    <col min="13564" max="13564" width="4.875" style="174" customWidth="1"/>
    <col min="13565" max="13565" width="35" style="174" customWidth="1"/>
    <col min="13566" max="13566" width="11.375" style="174" customWidth="1"/>
    <col min="13567" max="13567" width="6.625" style="174" customWidth="1"/>
    <col min="13568" max="13568" width="34" style="174" customWidth="1"/>
    <col min="13569" max="13576" width="9" style="174"/>
    <col min="13577" max="13577" width="6" style="174" customWidth="1"/>
    <col min="13578" max="13578" width="10.625" style="174" customWidth="1"/>
    <col min="13579" max="13579" width="9" style="174" hidden="1" customWidth="1"/>
    <col min="13580" max="13580" width="7.375" style="174" customWidth="1"/>
    <col min="13581" max="13581" width="12.25" style="174" customWidth="1"/>
    <col min="13582" max="13582" width="23.625" style="174" customWidth="1"/>
    <col min="13583" max="13818" width="9" style="174"/>
    <col min="13819" max="13819" width="1.25" style="174" customWidth="1"/>
    <col min="13820" max="13820" width="4.875" style="174" customWidth="1"/>
    <col min="13821" max="13821" width="35" style="174" customWidth="1"/>
    <col min="13822" max="13822" width="11.375" style="174" customWidth="1"/>
    <col min="13823" max="13823" width="6.625" style="174" customWidth="1"/>
    <col min="13824" max="13824" width="34" style="174" customWidth="1"/>
    <col min="13825" max="13832" width="9" style="174"/>
    <col min="13833" max="13833" width="6" style="174" customWidth="1"/>
    <col min="13834" max="13834" width="10.625" style="174" customWidth="1"/>
    <col min="13835" max="13835" width="9" style="174" hidden="1" customWidth="1"/>
    <col min="13836" max="13836" width="7.375" style="174" customWidth="1"/>
    <col min="13837" max="13837" width="12.25" style="174" customWidth="1"/>
    <col min="13838" max="13838" width="23.625" style="174" customWidth="1"/>
    <col min="13839" max="14074" width="9" style="174"/>
    <col min="14075" max="14075" width="1.25" style="174" customWidth="1"/>
    <col min="14076" max="14076" width="4.875" style="174" customWidth="1"/>
    <col min="14077" max="14077" width="35" style="174" customWidth="1"/>
    <col min="14078" max="14078" width="11.375" style="174" customWidth="1"/>
    <col min="14079" max="14079" width="6.625" style="174" customWidth="1"/>
    <col min="14080" max="14080" width="34" style="174" customWidth="1"/>
    <col min="14081" max="14088" width="9" style="174"/>
    <col min="14089" max="14089" width="6" style="174" customWidth="1"/>
    <col min="14090" max="14090" width="10.625" style="174" customWidth="1"/>
    <col min="14091" max="14091" width="9" style="174" hidden="1" customWidth="1"/>
    <col min="14092" max="14092" width="7.375" style="174" customWidth="1"/>
    <col min="14093" max="14093" width="12.25" style="174" customWidth="1"/>
    <col min="14094" max="14094" width="23.625" style="174" customWidth="1"/>
    <col min="14095" max="14330" width="9" style="174"/>
    <col min="14331" max="14331" width="1.25" style="174" customWidth="1"/>
    <col min="14332" max="14332" width="4.875" style="174" customWidth="1"/>
    <col min="14333" max="14333" width="35" style="174" customWidth="1"/>
    <col min="14334" max="14334" width="11.375" style="174" customWidth="1"/>
    <col min="14335" max="14335" width="6.625" style="174" customWidth="1"/>
    <col min="14336" max="14336" width="34" style="174" customWidth="1"/>
    <col min="14337" max="14344" width="9" style="174"/>
    <col min="14345" max="14345" width="6" style="174" customWidth="1"/>
    <col min="14346" max="14346" width="10.625" style="174" customWidth="1"/>
    <col min="14347" max="14347" width="9" style="174" hidden="1" customWidth="1"/>
    <col min="14348" max="14348" width="7.375" style="174" customWidth="1"/>
    <col min="14349" max="14349" width="12.25" style="174" customWidth="1"/>
    <col min="14350" max="14350" width="23.625" style="174" customWidth="1"/>
    <col min="14351" max="14586" width="9" style="174"/>
    <col min="14587" max="14587" width="1.25" style="174" customWidth="1"/>
    <col min="14588" max="14588" width="4.875" style="174" customWidth="1"/>
    <col min="14589" max="14589" width="35" style="174" customWidth="1"/>
    <col min="14590" max="14590" width="11.375" style="174" customWidth="1"/>
    <col min="14591" max="14591" width="6.625" style="174" customWidth="1"/>
    <col min="14592" max="14592" width="34" style="174" customWidth="1"/>
    <col min="14593" max="14600" width="9" style="174"/>
    <col min="14601" max="14601" width="6" style="174" customWidth="1"/>
    <col min="14602" max="14602" width="10.625" style="174" customWidth="1"/>
    <col min="14603" max="14603" width="9" style="174" hidden="1" customWidth="1"/>
    <col min="14604" max="14604" width="7.375" style="174" customWidth="1"/>
    <col min="14605" max="14605" width="12.25" style="174" customWidth="1"/>
    <col min="14606" max="14606" width="23.625" style="174" customWidth="1"/>
    <col min="14607" max="14842" width="9" style="174"/>
    <col min="14843" max="14843" width="1.25" style="174" customWidth="1"/>
    <col min="14844" max="14844" width="4.875" style="174" customWidth="1"/>
    <col min="14845" max="14845" width="35" style="174" customWidth="1"/>
    <col min="14846" max="14846" width="11.375" style="174" customWidth="1"/>
    <col min="14847" max="14847" width="6.625" style="174" customWidth="1"/>
    <col min="14848" max="14848" width="34" style="174" customWidth="1"/>
    <col min="14849" max="14856" width="9" style="174"/>
    <col min="14857" max="14857" width="6" style="174" customWidth="1"/>
    <col min="14858" max="14858" width="10.625" style="174" customWidth="1"/>
    <col min="14859" max="14859" width="9" style="174" hidden="1" customWidth="1"/>
    <col min="14860" max="14860" width="7.375" style="174" customWidth="1"/>
    <col min="14861" max="14861" width="12.25" style="174" customWidth="1"/>
    <col min="14862" max="14862" width="23.625" style="174" customWidth="1"/>
    <col min="14863" max="15098" width="9" style="174"/>
    <col min="15099" max="15099" width="1.25" style="174" customWidth="1"/>
    <col min="15100" max="15100" width="4.875" style="174" customWidth="1"/>
    <col min="15101" max="15101" width="35" style="174" customWidth="1"/>
    <col min="15102" max="15102" width="11.375" style="174" customWidth="1"/>
    <col min="15103" max="15103" width="6.625" style="174" customWidth="1"/>
    <col min="15104" max="15104" width="34" style="174" customWidth="1"/>
    <col min="15105" max="15112" width="9" style="174"/>
    <col min="15113" max="15113" width="6" style="174" customWidth="1"/>
    <col min="15114" max="15114" width="10.625" style="174" customWidth="1"/>
    <col min="15115" max="15115" width="9" style="174" hidden="1" customWidth="1"/>
    <col min="15116" max="15116" width="7.375" style="174" customWidth="1"/>
    <col min="15117" max="15117" width="12.25" style="174" customWidth="1"/>
    <col min="15118" max="15118" width="23.625" style="174" customWidth="1"/>
    <col min="15119" max="15354" width="9" style="174"/>
    <col min="15355" max="15355" width="1.25" style="174" customWidth="1"/>
    <col min="15356" max="15356" width="4.875" style="174" customWidth="1"/>
    <col min="15357" max="15357" width="35" style="174" customWidth="1"/>
    <col min="15358" max="15358" width="11.375" style="174" customWidth="1"/>
    <col min="15359" max="15359" width="6.625" style="174" customWidth="1"/>
    <col min="15360" max="15360" width="34" style="174" customWidth="1"/>
    <col min="15361" max="15368" width="9" style="174"/>
    <col min="15369" max="15369" width="6" style="174" customWidth="1"/>
    <col min="15370" max="15370" width="10.625" style="174" customWidth="1"/>
    <col min="15371" max="15371" width="9" style="174" hidden="1" customWidth="1"/>
    <col min="15372" max="15372" width="7.375" style="174" customWidth="1"/>
    <col min="15373" max="15373" width="12.25" style="174" customWidth="1"/>
    <col min="15374" max="15374" width="23.625" style="174" customWidth="1"/>
    <col min="15375" max="15610" width="9" style="174"/>
    <col min="15611" max="15611" width="1.25" style="174" customWidth="1"/>
    <col min="15612" max="15612" width="4.875" style="174" customWidth="1"/>
    <col min="15613" max="15613" width="35" style="174" customWidth="1"/>
    <col min="15614" max="15614" width="11.375" style="174" customWidth="1"/>
    <col min="15615" max="15615" width="6.625" style="174" customWidth="1"/>
    <col min="15616" max="15616" width="34" style="174" customWidth="1"/>
    <col min="15617" max="15624" width="9" style="174"/>
    <col min="15625" max="15625" width="6" style="174" customWidth="1"/>
    <col min="15626" max="15626" width="10.625" style="174" customWidth="1"/>
    <col min="15627" max="15627" width="9" style="174" hidden="1" customWidth="1"/>
    <col min="15628" max="15628" width="7.375" style="174" customWidth="1"/>
    <col min="15629" max="15629" width="12.25" style="174" customWidth="1"/>
    <col min="15630" max="15630" width="23.625" style="174" customWidth="1"/>
    <col min="15631" max="15866" width="9" style="174"/>
    <col min="15867" max="15867" width="1.25" style="174" customWidth="1"/>
    <col min="15868" max="15868" width="4.875" style="174" customWidth="1"/>
    <col min="15869" max="15869" width="35" style="174" customWidth="1"/>
    <col min="15870" max="15870" width="11.375" style="174" customWidth="1"/>
    <col min="15871" max="15871" width="6.625" style="174" customWidth="1"/>
    <col min="15872" max="15872" width="34" style="174" customWidth="1"/>
    <col min="15873" max="15880" width="9" style="174"/>
    <col min="15881" max="15881" width="6" style="174" customWidth="1"/>
    <col min="15882" max="15882" width="10.625" style="174" customWidth="1"/>
    <col min="15883" max="15883" width="9" style="174" hidden="1" customWidth="1"/>
    <col min="15884" max="15884" width="7.375" style="174" customWidth="1"/>
    <col min="15885" max="15885" width="12.25" style="174" customWidth="1"/>
    <col min="15886" max="15886" width="23.625" style="174" customWidth="1"/>
    <col min="15887" max="16122" width="9" style="174"/>
    <col min="16123" max="16123" width="1.25" style="174" customWidth="1"/>
    <col min="16124" max="16124" width="4.875" style="174" customWidth="1"/>
    <col min="16125" max="16125" width="35" style="174" customWidth="1"/>
    <col min="16126" max="16126" width="11.375" style="174" customWidth="1"/>
    <col min="16127" max="16127" width="6.625" style="174" customWidth="1"/>
    <col min="16128" max="16128" width="34" style="174" customWidth="1"/>
    <col min="16129" max="16136" width="9" style="174"/>
    <col min="16137" max="16137" width="6" style="174" customWidth="1"/>
    <col min="16138" max="16138" width="10.625" style="174" customWidth="1"/>
    <col min="16139" max="16139" width="9" style="174" hidden="1" customWidth="1"/>
    <col min="16140" max="16140" width="7.375" style="174" customWidth="1"/>
    <col min="16141" max="16141" width="12.25" style="174" customWidth="1"/>
    <col min="16142" max="16142" width="23.625" style="174" customWidth="1"/>
    <col min="16143" max="16384" width="9" style="174"/>
  </cols>
  <sheetData>
    <row r="1" spans="1:30" ht="38.1" hidden="1" customHeight="1">
      <c r="A1" s="178"/>
      <c r="B1" s="276"/>
      <c r="C1" s="276"/>
      <c r="D1" s="276"/>
      <c r="E1" s="276"/>
      <c r="F1" s="179"/>
      <c r="G1" s="179"/>
      <c r="H1" s="179"/>
      <c r="I1" s="227"/>
      <c r="J1" s="227"/>
      <c r="K1" s="277"/>
      <c r="L1" s="277"/>
      <c r="M1" s="277"/>
      <c r="N1" s="228"/>
      <c r="O1" s="178"/>
      <c r="P1" s="229"/>
    </row>
    <row r="2" spans="1:30" ht="50.45" customHeight="1">
      <c r="A2" s="178"/>
      <c r="B2" s="180"/>
      <c r="C2" s="181"/>
      <c r="D2" s="278" t="s">
        <v>0</v>
      </c>
      <c r="E2" s="278"/>
      <c r="F2" s="278"/>
      <c r="G2" s="278"/>
      <c r="H2" s="278"/>
      <c r="I2" s="278"/>
      <c r="J2" s="278"/>
      <c r="K2" s="278"/>
      <c r="L2" s="230"/>
      <c r="M2" s="181"/>
      <c r="N2" s="181"/>
      <c r="O2" s="231"/>
      <c r="P2" s="232"/>
    </row>
    <row r="3" spans="1:30" ht="16.350000000000001" customHeight="1">
      <c r="A3" s="178"/>
      <c r="B3" s="182"/>
      <c r="C3" s="279" t="s">
        <v>1</v>
      </c>
      <c r="D3" s="279"/>
      <c r="E3" s="280" t="s">
        <v>2</v>
      </c>
      <c r="F3" s="280"/>
      <c r="G3" s="280"/>
      <c r="H3" s="280"/>
      <c r="I3" s="280"/>
      <c r="J3" s="280"/>
      <c r="K3" s="233"/>
      <c r="L3" s="281"/>
      <c r="M3" s="281"/>
      <c r="N3" s="281"/>
      <c r="O3" s="234"/>
      <c r="P3" s="235"/>
    </row>
    <row r="4" spans="1:30" ht="16.350000000000001" hidden="1" customHeight="1">
      <c r="A4" s="178"/>
      <c r="B4" s="178"/>
      <c r="C4" s="178"/>
      <c r="D4" s="178"/>
      <c r="E4" s="178"/>
      <c r="F4" s="178"/>
      <c r="G4" s="178"/>
      <c r="H4" s="178"/>
      <c r="I4" s="178"/>
      <c r="J4" s="178"/>
      <c r="K4" s="233"/>
      <c r="L4" s="281"/>
      <c r="M4" s="281"/>
      <c r="N4" s="281"/>
      <c r="O4" s="236"/>
      <c r="P4" s="235"/>
    </row>
    <row r="5" spans="1:30" ht="8.1" customHeight="1">
      <c r="A5" s="178"/>
      <c r="B5" s="183"/>
      <c r="C5" s="178"/>
      <c r="D5" s="178"/>
      <c r="E5" s="178"/>
      <c r="F5" s="178"/>
      <c r="G5" s="178"/>
      <c r="H5" s="178"/>
      <c r="I5" s="178"/>
      <c r="J5" s="178"/>
      <c r="K5" s="178"/>
      <c r="L5" s="237"/>
      <c r="M5" s="237"/>
      <c r="N5" s="178"/>
      <c r="O5" s="178"/>
      <c r="P5" s="229"/>
      <c r="Q5" s="174"/>
      <c r="R5" s="174"/>
      <c r="S5" s="174"/>
    </row>
    <row r="6" spans="1:30" ht="30.2" customHeight="1">
      <c r="A6" s="178"/>
      <c r="B6" s="183"/>
      <c r="C6" s="178"/>
      <c r="D6" s="178"/>
      <c r="E6" s="178"/>
      <c r="F6" s="178"/>
      <c r="G6" s="178"/>
      <c r="H6" s="184" t="b">
        <v>1</v>
      </c>
      <c r="I6" s="184" t="b">
        <v>0</v>
      </c>
      <c r="J6" s="178"/>
      <c r="K6" s="178"/>
      <c r="L6" s="237"/>
      <c r="M6" s="237"/>
      <c r="N6" s="178"/>
      <c r="O6" s="178"/>
      <c r="P6" s="229"/>
    </row>
    <row r="7" spans="1:30" ht="26.1" customHeight="1">
      <c r="A7" s="178"/>
      <c r="B7" s="185" t="s">
        <v>3</v>
      </c>
      <c r="C7" s="186"/>
      <c r="D7" s="187"/>
      <c r="E7" s="187"/>
      <c r="F7" s="187"/>
      <c r="G7" s="187"/>
      <c r="H7" s="187"/>
      <c r="I7" s="187"/>
      <c r="J7" s="187"/>
      <c r="K7" s="238"/>
      <c r="L7" s="187"/>
      <c r="M7" s="239"/>
      <c r="N7" s="240"/>
      <c r="O7" s="178"/>
      <c r="P7" s="229"/>
      <c r="Q7" s="264" t="s">
        <v>4</v>
      </c>
      <c r="R7" s="265" t="b">
        <f>OR(R8,R9)</f>
        <v>0</v>
      </c>
      <c r="T7" s="265" t="str">
        <f>'轿厢&gt;井道'!K12</f>
        <v>LTHX</v>
      </c>
      <c r="U7" s="265" t="str">
        <f>'轿厢&gt;井道'!L12</f>
        <v>LTHX Car</v>
      </c>
      <c r="V7" s="265" t="str">
        <f>'轿厢&gt;井道'!M12</f>
        <v>LTHW</v>
      </c>
      <c r="W7" s="265" t="str">
        <f>'轿厢&gt;井道'!N12</f>
        <v>LTHW Car</v>
      </c>
      <c r="X7" s="265" t="str">
        <f>'轿厢&gt;井道'!O12</f>
        <v>EVIK</v>
      </c>
      <c r="Y7" s="265" t="str">
        <f>'轿厢&gt;井道'!P12</f>
        <v>EVIN</v>
      </c>
      <c r="Z7" s="265" t="str">
        <f>'轿厢&gt;井道'!Q12</f>
        <v>LTK</v>
      </c>
      <c r="AA7" s="265" t="str">
        <f>'轿厢&gt;井道'!R12</f>
        <v>预留</v>
      </c>
      <c r="AB7" s="265" t="str">
        <f>'轿厢&gt;井道'!S12</f>
        <v>预留</v>
      </c>
      <c r="AC7" s="265" t="str">
        <f>'轿厢&gt;井道'!T12</f>
        <v>预留</v>
      </c>
      <c r="AD7" s="275" t="s">
        <v>5</v>
      </c>
    </row>
    <row r="8" spans="1:30" ht="18" customHeight="1">
      <c r="A8" s="178"/>
      <c r="B8" s="188"/>
      <c r="C8" s="189" t="s">
        <v>6</v>
      </c>
      <c r="D8" s="189"/>
      <c r="E8" s="189" t="s">
        <v>7</v>
      </c>
      <c r="F8" s="189"/>
      <c r="G8" s="189" t="s">
        <v>8</v>
      </c>
      <c r="H8" s="189"/>
      <c r="I8" s="189" t="s">
        <v>9</v>
      </c>
      <c r="J8" s="189"/>
      <c r="L8" s="241"/>
      <c r="N8" s="241"/>
      <c r="O8" s="178"/>
      <c r="P8" s="229"/>
      <c r="Q8" s="264" t="s">
        <v>10</v>
      </c>
      <c r="R8" s="265" t="b">
        <f>AND(OR(C9="LTHX",C9="LTHW",AND(OR(C9="LTK",C9="EVIK"),E9&gt;1600),C9="EVIN",AND(C18="GOST 33984.1",C9="EVIK",E9=630)),I12="REAR")</f>
        <v>0</v>
      </c>
      <c r="AD8" s="265">
        <f>MATCH(C9,T7:AC7,0)</f>
        <v>3</v>
      </c>
    </row>
    <row r="9" spans="1:30" ht="18" customHeight="1">
      <c r="A9" s="178"/>
      <c r="B9" s="188"/>
      <c r="C9" s="190" t="s">
        <v>11</v>
      </c>
      <c r="D9" s="191"/>
      <c r="E9" s="192">
        <v>3000</v>
      </c>
      <c r="F9" s="191"/>
      <c r="G9" s="192">
        <v>0.5</v>
      </c>
      <c r="H9" s="191"/>
      <c r="I9" s="192">
        <v>20</v>
      </c>
      <c r="J9" s="242"/>
      <c r="L9" s="242"/>
      <c r="N9" s="242"/>
      <c r="O9" s="178"/>
      <c r="P9" s="229"/>
      <c r="Q9" s="264" t="s">
        <v>12</v>
      </c>
      <c r="R9" s="265" t="b">
        <f>AND(I12="REAR",I15="Yes")</f>
        <v>0</v>
      </c>
    </row>
    <row r="10" spans="1:30" ht="12" customHeight="1">
      <c r="A10" s="178"/>
      <c r="B10" s="188"/>
      <c r="C10" s="188"/>
      <c r="D10" s="188"/>
      <c r="E10" s="188"/>
      <c r="F10" s="188"/>
      <c r="G10" s="188"/>
      <c r="H10" s="188"/>
      <c r="I10" s="188"/>
      <c r="J10" s="188"/>
      <c r="K10" s="188"/>
      <c r="L10" s="242"/>
      <c r="N10" s="242"/>
      <c r="O10" s="178"/>
      <c r="P10" s="229"/>
      <c r="Q10" s="266"/>
    </row>
    <row r="11" spans="1:30" ht="18" customHeight="1">
      <c r="A11" s="178"/>
      <c r="B11" s="188"/>
      <c r="C11" s="189" t="s">
        <v>13</v>
      </c>
      <c r="D11" s="189"/>
      <c r="E11" s="189" t="s">
        <v>14</v>
      </c>
      <c r="F11" s="189"/>
      <c r="G11" s="189" t="s">
        <v>15</v>
      </c>
      <c r="H11" s="189"/>
      <c r="I11" s="243" t="s">
        <v>16</v>
      </c>
      <c r="J11" s="241"/>
      <c r="K11" s="243" t="s">
        <v>17</v>
      </c>
      <c r="L11" s="241"/>
      <c r="N11" s="241"/>
      <c r="O11" s="178"/>
      <c r="P11" s="229"/>
      <c r="R11" s="267" t="s">
        <v>18</v>
      </c>
      <c r="S11" s="268"/>
    </row>
    <row r="12" spans="1:30" ht="18" customHeight="1">
      <c r="A12" s="178"/>
      <c r="B12" s="193"/>
      <c r="C12" s="192">
        <v>2600</v>
      </c>
      <c r="D12" s="194"/>
      <c r="E12" s="192">
        <v>2150</v>
      </c>
      <c r="F12" s="194"/>
      <c r="G12" s="192">
        <v>2200</v>
      </c>
      <c r="H12" s="194"/>
      <c r="I12" s="192" t="s">
        <v>19</v>
      </c>
      <c r="J12" s="244"/>
      <c r="K12" s="192" t="s">
        <v>20</v>
      </c>
      <c r="L12" s="242"/>
      <c r="M12" s="245" t="s">
        <v>21</v>
      </c>
      <c r="N12" s="246"/>
      <c r="O12" s="178"/>
      <c r="P12" s="229"/>
      <c r="Q12" s="269"/>
      <c r="R12" s="267">
        <f t="shared" ref="R12:R18" ca="1" si="0">OFFSET(S12,0,$AD$8,1,1)</f>
        <v>2200</v>
      </c>
      <c r="S12" s="267" t="s">
        <v>22</v>
      </c>
      <c r="T12" s="267">
        <f ca="1">'轿厢&gt;井道'!K20</f>
        <v>2200</v>
      </c>
      <c r="U12" s="267">
        <f ca="1">'轿厢&gt;井道'!L20</f>
        <v>2500</v>
      </c>
      <c r="V12" s="267">
        <f ca="1">'轿厢&gt;井道'!M20</f>
        <v>2200</v>
      </c>
      <c r="W12" s="267">
        <f ca="1">'轿厢&gt;井道'!N20</f>
        <v>2500</v>
      </c>
      <c r="X12" s="267" t="e">
        <f ca="1">'轿厢&gt;井道'!O20</f>
        <v>#N/A</v>
      </c>
      <c r="Y12" s="267" t="e">
        <f ca="1">'轿厢&gt;井道'!P20</f>
        <v>#N/A</v>
      </c>
      <c r="Z12" s="267" t="e">
        <f ca="1">'轿厢&gt;井道'!Q20</f>
        <v>#N/A</v>
      </c>
      <c r="AA12" s="267">
        <f>'轿厢&gt;井道'!R20</f>
        <v>0</v>
      </c>
      <c r="AB12" s="267">
        <f>'轿厢&gt;井道'!S20</f>
        <v>0</v>
      </c>
      <c r="AC12" s="267">
        <f>'轿厢&gt;井道'!T20</f>
        <v>0</v>
      </c>
    </row>
    <row r="13" spans="1:30" ht="12" customHeight="1">
      <c r="A13" s="178"/>
      <c r="B13" s="188"/>
      <c r="C13" s="188"/>
      <c r="D13" s="188"/>
      <c r="E13" s="188"/>
      <c r="F13" s="188"/>
      <c r="G13" s="188"/>
      <c r="H13" s="188"/>
      <c r="I13" s="188"/>
      <c r="J13" s="188"/>
      <c r="K13" s="188"/>
      <c r="L13" s="188"/>
      <c r="N13" s="247"/>
      <c r="O13" s="178"/>
      <c r="P13" s="229"/>
      <c r="Q13" s="269"/>
      <c r="R13" s="267">
        <f t="shared" ca="1" si="0"/>
        <v>2500</v>
      </c>
      <c r="S13" s="267" t="s">
        <v>23</v>
      </c>
      <c r="T13" s="267">
        <f ca="1">'轿厢&gt;井道'!K21</f>
        <v>2500</v>
      </c>
      <c r="U13" s="267">
        <f ca="1">'轿厢&gt;井道'!L21</f>
        <v>5900</v>
      </c>
      <c r="V13" s="267">
        <f ca="1">'轿厢&gt;井道'!M21</f>
        <v>2500</v>
      </c>
      <c r="W13" s="267">
        <f ca="1">'轿厢&gt;井道'!N21</f>
        <v>5900</v>
      </c>
      <c r="X13" s="267" t="e">
        <f ca="1">'轿厢&gt;井道'!O21</f>
        <v>#N/A</v>
      </c>
      <c r="Y13" s="267" t="e">
        <f ca="1">'轿厢&gt;井道'!P21</f>
        <v>#N/A</v>
      </c>
      <c r="Z13" s="267" t="e">
        <f ca="1">'轿厢&gt;井道'!Q21</f>
        <v>#N/A</v>
      </c>
      <c r="AA13" s="267">
        <f>'轿厢&gt;井道'!R21</f>
        <v>0</v>
      </c>
      <c r="AB13" s="267">
        <f>'轿厢&gt;井道'!S21</f>
        <v>0</v>
      </c>
      <c r="AC13" s="267">
        <f>'轿厢&gt;井道'!T21</f>
        <v>0</v>
      </c>
    </row>
    <row r="14" spans="1:30" ht="18" customHeight="1">
      <c r="A14" s="178"/>
      <c r="B14" s="188"/>
      <c r="C14" s="189" t="s">
        <v>24</v>
      </c>
      <c r="D14" s="195"/>
      <c r="E14" s="189" t="s">
        <v>25</v>
      </c>
      <c r="F14" s="195"/>
      <c r="G14" s="189" t="s">
        <v>26</v>
      </c>
      <c r="I14" s="189" t="s">
        <v>27</v>
      </c>
      <c r="K14" s="243" t="s">
        <v>28</v>
      </c>
      <c r="L14" s="195"/>
      <c r="M14" s="243" t="s">
        <v>29</v>
      </c>
      <c r="N14" s="247"/>
      <c r="O14" s="178"/>
      <c r="P14" s="229"/>
      <c r="Q14" s="269"/>
      <c r="R14" s="267">
        <f t="shared" ca="1" si="0"/>
        <v>2200</v>
      </c>
      <c r="S14" s="267" t="s">
        <v>30</v>
      </c>
      <c r="T14" s="267">
        <f>'轿厢&gt;井道'!K22</f>
        <v>2200</v>
      </c>
      <c r="U14" s="267">
        <f>'轿厢&gt;井道'!L22</f>
        <v>2200</v>
      </c>
      <c r="V14" s="267">
        <f>'轿厢&gt;井道'!M22</f>
        <v>2200</v>
      </c>
      <c r="W14" s="267">
        <f>'轿厢&gt;井道'!N22</f>
        <v>2200</v>
      </c>
      <c r="X14" s="267">
        <f ca="1">'轿厢&gt;井道'!O22</f>
        <v>2300</v>
      </c>
      <c r="Y14" s="267">
        <f ca="1">'轿厢&gt;井道'!P22</f>
        <v>2300</v>
      </c>
      <c r="Z14" s="267">
        <f ca="1">'轿厢&gt;井道'!Q22</f>
        <v>2200</v>
      </c>
      <c r="AA14" s="267">
        <f>'轿厢&gt;井道'!R22</f>
        <v>0</v>
      </c>
      <c r="AB14" s="267">
        <f>'轿厢&gt;井道'!S22</f>
        <v>0</v>
      </c>
      <c r="AC14" s="267">
        <f>'轿厢&gt;井道'!T22</f>
        <v>0</v>
      </c>
    </row>
    <row r="15" spans="1:30" ht="18" customHeight="1">
      <c r="A15" s="178"/>
      <c r="B15" s="188"/>
      <c r="C15" s="192" t="s">
        <v>31</v>
      </c>
      <c r="D15" s="195"/>
      <c r="E15" s="192">
        <v>1700</v>
      </c>
      <c r="F15" s="195"/>
      <c r="G15" s="192">
        <v>2100</v>
      </c>
      <c r="I15" s="192" t="s">
        <v>20</v>
      </c>
      <c r="K15" s="192" t="s">
        <v>20</v>
      </c>
      <c r="L15" s="195"/>
      <c r="M15" s="248" t="s">
        <v>32</v>
      </c>
      <c r="N15" s="247"/>
      <c r="O15" s="178"/>
      <c r="P15" s="229"/>
      <c r="Q15" s="269"/>
      <c r="R15" s="267" t="str">
        <f t="shared" ca="1" si="0"/>
        <v>SIDE</v>
      </c>
      <c r="S15" s="267" t="s">
        <v>33</v>
      </c>
      <c r="T15" s="270" t="s">
        <v>19</v>
      </c>
      <c r="U15" s="270" t="s">
        <v>19</v>
      </c>
      <c r="V15" s="270" t="s">
        <v>19</v>
      </c>
      <c r="W15" s="270" t="s">
        <v>19</v>
      </c>
      <c r="X15" s="271" t="str">
        <f>IF(AND($C$18="GOST 33984.1",OR($E$9=630,$E$9=1600)),"SIDE","REAR")</f>
        <v>REAR</v>
      </c>
      <c r="Y15" s="267" t="s">
        <v>19</v>
      </c>
      <c r="Z15" s="270" t="s">
        <v>34</v>
      </c>
      <c r="AA15" s="267"/>
      <c r="AB15" s="267"/>
      <c r="AC15" s="267"/>
    </row>
    <row r="16" spans="1:30" ht="12" customHeight="1">
      <c r="A16" s="178"/>
      <c r="B16" s="178"/>
      <c r="C16" s="196" t="str">
        <f ca="1">OFFSET(井道尺寸数据!A66,0,'轿厢&gt;井道'!C18,1,1)</f>
        <v>2 panel side opening</v>
      </c>
      <c r="D16" s="178"/>
      <c r="E16" s="178"/>
      <c r="F16" s="178"/>
      <c r="G16" s="178"/>
      <c r="H16" s="178"/>
      <c r="I16" s="178"/>
      <c r="J16" s="178"/>
      <c r="K16" s="178"/>
      <c r="L16" s="178"/>
      <c r="M16" s="178"/>
      <c r="N16" s="247"/>
      <c r="O16" s="178"/>
      <c r="P16" s="229"/>
      <c r="R16" s="267" t="str">
        <f t="shared" ca="1" si="0"/>
        <v>S2</v>
      </c>
      <c r="S16" s="267" t="s">
        <v>35</v>
      </c>
      <c r="T16" s="267" t="str">
        <f ca="1">'轿厢&gt;井道'!K157</f>
        <v>S2</v>
      </c>
      <c r="U16" s="267" t="s">
        <v>36</v>
      </c>
      <c r="V16" s="267" t="str">
        <f ca="1">'轿厢&gt;井道'!M157</f>
        <v>S2</v>
      </c>
      <c r="W16" s="267" t="s">
        <v>36</v>
      </c>
      <c r="X16" s="267" t="e">
        <f ca="1">'轿厢&gt;井道'!O157</f>
        <v>#N/A</v>
      </c>
      <c r="Y16" s="267" t="e">
        <f ca="1">'轿厢&gt;井道'!P157</f>
        <v>#N/A</v>
      </c>
      <c r="Z16" s="267" t="e">
        <f ca="1">'轿厢&gt;井道'!Q157</f>
        <v>#N/A</v>
      </c>
      <c r="AA16" s="267"/>
      <c r="AB16" s="267"/>
      <c r="AC16" s="267"/>
    </row>
    <row r="17" spans="1:29" ht="18" customHeight="1">
      <c r="A17" s="178"/>
      <c r="B17" s="188"/>
      <c r="C17" s="197" t="s">
        <v>37</v>
      </c>
      <c r="D17" s="198"/>
      <c r="E17" s="197" t="s">
        <v>38</v>
      </c>
      <c r="F17" s="198"/>
      <c r="G17" s="197" t="s">
        <v>39</v>
      </c>
      <c r="I17" s="197" t="s">
        <v>40</v>
      </c>
      <c r="M17" s="197" t="s">
        <v>41</v>
      </c>
      <c r="N17" s="195"/>
      <c r="O17" s="178"/>
      <c r="P17" s="229"/>
      <c r="R17" s="267">
        <f t="shared" ca="1" si="0"/>
        <v>1800</v>
      </c>
      <c r="S17" s="267" t="s">
        <v>42</v>
      </c>
      <c r="T17" s="267">
        <f ca="1">'轿厢&gt;井道'!K158</f>
        <v>1800</v>
      </c>
      <c r="U17" s="267">
        <f ca="1">'轿厢&gt;井道'!L158</f>
        <v>2500</v>
      </c>
      <c r="V17" s="267">
        <f ca="1">'轿厢&gt;井道'!M158</f>
        <v>1800</v>
      </c>
      <c r="W17" s="267">
        <f ca="1">'轿厢&gt;井道'!N158</f>
        <v>2500</v>
      </c>
      <c r="X17" s="267" t="e">
        <f ca="1">'轿厢&gt;井道'!O158</f>
        <v>#N/A</v>
      </c>
      <c r="Y17" s="267" t="e">
        <f ca="1">'轿厢&gt;井道'!P158</f>
        <v>#N/A</v>
      </c>
      <c r="Z17" s="267" t="e">
        <f ca="1">'轿厢&gt;井道'!Q158</f>
        <v>#N/A</v>
      </c>
      <c r="AA17" s="267">
        <f>'轿厢&gt;井道'!R158</f>
        <v>0</v>
      </c>
      <c r="AB17" s="267">
        <f>'轿厢&gt;井道'!S158</f>
        <v>0</v>
      </c>
      <c r="AC17" s="267">
        <f>'轿厢&gt;井道'!T158</f>
        <v>0</v>
      </c>
    </row>
    <row r="18" spans="1:29" ht="18" customHeight="1">
      <c r="A18" s="178"/>
      <c r="B18" s="188"/>
      <c r="C18" s="192" t="s">
        <v>43</v>
      </c>
      <c r="D18" s="198"/>
      <c r="E18" s="192" t="s">
        <v>44</v>
      </c>
      <c r="F18" s="198"/>
      <c r="G18" s="192" t="s">
        <v>45</v>
      </c>
      <c r="I18" s="192" t="s">
        <v>46</v>
      </c>
      <c r="M18" s="192">
        <v>30</v>
      </c>
      <c r="N18" s="249" t="str">
        <f>ROUNDUP((C12*E12+E15*100)*M18*2500/1000000000,-1)&amp;"kg"</f>
        <v>440kg</v>
      </c>
      <c r="O18" s="178"/>
      <c r="P18" s="229"/>
      <c r="R18" s="267">
        <f t="shared" ca="1" si="0"/>
        <v>2100</v>
      </c>
      <c r="S18" s="267" t="s">
        <v>47</v>
      </c>
      <c r="T18" s="267">
        <v>2100</v>
      </c>
      <c r="U18" s="267">
        <v>2100</v>
      </c>
      <c r="V18" s="267">
        <v>2100</v>
      </c>
      <c r="W18" s="267">
        <v>2100</v>
      </c>
      <c r="X18" s="271">
        <f>IF($C$18="GOST 33984.1",2000,2100)</f>
        <v>2100</v>
      </c>
      <c r="Y18" s="271">
        <f>IF($C$18="GOST 33984.1",2000,2100)</f>
        <v>2100</v>
      </c>
      <c r="Z18" s="267">
        <v>2100</v>
      </c>
      <c r="AA18" s="271"/>
      <c r="AB18" s="271"/>
      <c r="AC18" s="271"/>
    </row>
    <row r="19" spans="1:29" ht="12" customHeight="1">
      <c r="A19" s="178"/>
      <c r="B19" s="188"/>
      <c r="C19" s="188"/>
      <c r="D19" s="188"/>
      <c r="E19" s="188"/>
      <c r="F19" s="188"/>
      <c r="G19" s="199" t="str">
        <f>IF(G18="Local allow","Customer shall assure no problem on local government/3rd party inspection approval. In no event shall Winone's liability.","")</f>
        <v>Customer shall assure no problem on local government/3rd party inspection approval. In no event shall Winone's liability.</v>
      </c>
      <c r="H19" s="188"/>
      <c r="I19" s="250" t="str">
        <f>IF(I18="Critical","Warning not allow any minus size","")</f>
        <v/>
      </c>
      <c r="J19" s="188"/>
      <c r="K19" s="188"/>
      <c r="L19" s="188"/>
      <c r="M19" s="188"/>
      <c r="N19" s="188"/>
      <c r="O19" s="188"/>
      <c r="P19" s="229"/>
    </row>
    <row r="20" spans="1:29" ht="26.1" customHeight="1">
      <c r="A20" s="178"/>
      <c r="B20" s="200" t="s">
        <v>48</v>
      </c>
      <c r="C20" s="201"/>
      <c r="D20" s="201"/>
      <c r="E20" s="202"/>
      <c r="F20" s="201"/>
      <c r="G20" s="201"/>
      <c r="H20" s="201"/>
      <c r="I20" s="201"/>
      <c r="J20" s="201"/>
      <c r="K20" s="201"/>
      <c r="L20" s="201"/>
      <c r="M20" s="201"/>
      <c r="N20" s="251"/>
      <c r="O20" s="178"/>
      <c r="P20" s="229"/>
    </row>
    <row r="21" spans="1:29" ht="19.149999999999999" customHeight="1">
      <c r="A21" s="178"/>
      <c r="B21" s="203"/>
      <c r="C21" s="204" t="s">
        <v>49</v>
      </c>
      <c r="D21" s="205"/>
      <c r="E21" s="204" t="s">
        <v>50</v>
      </c>
      <c r="F21" s="206"/>
      <c r="G21" s="206"/>
      <c r="H21" s="206"/>
      <c r="I21" s="206"/>
      <c r="J21" s="206"/>
      <c r="K21" s="206"/>
      <c r="L21" s="252" t="s">
        <v>51</v>
      </c>
      <c r="M21" s="253">
        <f ca="1">IFERROR('轿厢&gt;井道'!C46,"ERR")</f>
        <v>3000</v>
      </c>
      <c r="N21" s="253" t="str">
        <f>IF(ISNUMBER(FIND("Car",C9)),'轿厢&gt;井道'!D44,"")</f>
        <v/>
      </c>
      <c r="O21" s="178"/>
      <c r="P21" s="229"/>
    </row>
    <row r="22" spans="1:29" ht="19.149999999999999" customHeight="1">
      <c r="A22" s="178"/>
      <c r="B22" s="207"/>
      <c r="C22" s="208">
        <f ca="1">IF(J24="",IF($R$7,"ERR",IFERROR(E9,"ERR")),"ERR")</f>
        <v>3000</v>
      </c>
      <c r="D22" s="209"/>
      <c r="E22" s="208" t="str">
        <f ca="1">IF(J24="",IF($R$7,"ERR",IFERROR('轿厢&gt;井道'!C51,"ERR")),"ERR")</f>
        <v>-</v>
      </c>
      <c r="F22" s="209"/>
      <c r="G22" s="210"/>
      <c r="H22" s="210"/>
      <c r="I22" s="210"/>
      <c r="J22" s="254"/>
      <c r="K22" s="254"/>
      <c r="L22" s="255"/>
      <c r="M22" s="217"/>
      <c r="N22" s="256"/>
      <c r="O22" s="178"/>
      <c r="P22" s="229"/>
    </row>
    <row r="23" spans="1:29" ht="19.149999999999999" customHeight="1">
      <c r="A23" s="178"/>
      <c r="B23" s="211"/>
      <c r="C23" s="212" t="s">
        <v>52</v>
      </c>
      <c r="D23" s="213"/>
      <c r="E23" s="212" t="s">
        <v>53</v>
      </c>
      <c r="F23" s="214"/>
      <c r="G23" s="212" t="s">
        <v>54</v>
      </c>
      <c r="H23" s="213"/>
      <c r="I23" s="212" t="s">
        <v>55</v>
      </c>
      <c r="J23" s="257"/>
      <c r="K23" s="254"/>
      <c r="L23" s="254"/>
      <c r="M23" s="254"/>
      <c r="N23" s="256"/>
      <c r="O23" s="178"/>
      <c r="P23" s="229"/>
    </row>
    <row r="24" spans="1:29" ht="19.149999999999999" customHeight="1">
      <c r="A24" s="178"/>
      <c r="B24" s="211"/>
      <c r="C24" s="215" t="s">
        <v>56</v>
      </c>
      <c r="D24" s="212" t="s">
        <v>57</v>
      </c>
      <c r="E24" s="215" t="s">
        <v>56</v>
      </c>
      <c r="F24" s="214"/>
      <c r="G24" s="215" t="s">
        <v>56</v>
      </c>
      <c r="H24" s="212" t="s">
        <v>58</v>
      </c>
      <c r="I24" s="215" t="s">
        <v>56</v>
      </c>
      <c r="J24" s="257" t="str">
        <f ca="1">IF(IFERROR(OR(J25&lt;&gt;"",J26&lt;&gt;"",J27&lt;&gt;"",J28&lt;&gt;"",J29&lt;&gt;"",J30&lt;&gt;""),TRUE),"警 告：","")</f>
        <v/>
      </c>
      <c r="K24" s="254"/>
      <c r="L24" s="254"/>
      <c r="M24" s="254"/>
      <c r="N24" s="256"/>
      <c r="O24" s="178"/>
      <c r="P24" s="229"/>
      <c r="Q24" s="272"/>
    </row>
    <row r="25" spans="1:29" ht="19.149999999999999" customHeight="1">
      <c r="A25" s="178"/>
      <c r="B25" s="211"/>
      <c r="C25" s="216">
        <f ca="1">IF(J24="",IF($R$7,"ERR",IFERROR('轿厢&gt;井道'!B165,"ERR")),"ERR")</f>
        <v>3830</v>
      </c>
      <c r="D25" s="217" t="s">
        <v>57</v>
      </c>
      <c r="E25" s="218">
        <f ca="1">IF(J24="",IF($R$7,"ERR",IFERROR('轿厢&gt;井道'!B166,"ERR")),"ERR")</f>
        <v>2600</v>
      </c>
      <c r="F25" s="214"/>
      <c r="G25" s="216">
        <f ca="1">IF(J24="",IF($R$7,"ERR",IFERROR('轿厢&gt;井道'!C169,"ERR")),"ERR")</f>
        <v>4650</v>
      </c>
      <c r="H25" s="217" t="s">
        <v>58</v>
      </c>
      <c r="I25" s="218">
        <f ca="1">IF(J24="",IF($R$7,"ERR",IFERROR('轿厢&gt;井道'!E173,"ERR")),"ERR")</f>
        <v>1400</v>
      </c>
      <c r="J25" s="258" t="str">
        <f ca="1">IFERROR(IF('轿厢&gt;井道'!G141,"因对重框架限制，轿厢深度最小值 "&amp;'轿厢&gt;井道'!E141&amp;"mm，请调整；",""),"")</f>
        <v/>
      </c>
      <c r="K25" s="254"/>
      <c r="L25" s="254"/>
      <c r="M25" s="254"/>
      <c r="N25" s="256"/>
      <c r="O25" s="178"/>
      <c r="P25" s="229"/>
    </row>
    <row r="26" spans="1:29" ht="19.149999999999999" customHeight="1">
      <c r="A26" s="178"/>
      <c r="B26" s="211"/>
      <c r="C26" s="219" t="str">
        <f>IF(C24="Enter","",IF(C24&lt;C25,"Wrong! to increase SW, adjust CW or Door",IF(C24&gt;(C25+1000),"Separate beam is needed","")))</f>
        <v/>
      </c>
      <c r="D26" s="214"/>
      <c r="E26" s="219" t="str">
        <f>IF(E24="Enter","",IF(E24&lt;E25,"Wrong! to increase SD, adjust CD",IF(AND(I12="REAR",E24&gt;(E25+1000)),"Separate beam may need","")))</f>
        <v/>
      </c>
      <c r="F26" s="214"/>
      <c r="G26" s="219" t="str">
        <f>IF(G24="Enter","",IF(G24&lt;G25,"Wrong! to increase K, reduce CH or V",IF(AND(OR(C9="LTHW",C9="LTW"),G24&gt;(G25+2000)),"Beam to hang is needed at shaft top","")))</f>
        <v/>
      </c>
      <c r="H26" s="214"/>
      <c r="I26" s="219" t="str">
        <f>IF(I24="Enter","",IF(I24&lt;I25,"Wrong! to increase pit or reduce speed",IF(I24&gt;2500,"Need pit access door, please reduce if possible","")))</f>
        <v/>
      </c>
      <c r="J26" s="259" t="str">
        <f ca="1">IF('轿厢&gt;井道'!B53,'轿厢&gt;井道'!C53,"")&amp;IF('轿厢&gt;井道'!G166,"建议加大轿厢尺寸，当前已小于标配载重最小值 "&amp;'轿厢&gt;井道'!B162&amp;"kg；","")&amp;IF('轿厢&gt;井道'!G165,"建议减小轿厢尺寸，当前已超出标配载重最大值 "&amp;'轿厢&gt;井道'!B161&amp;"kg；","")</f>
        <v/>
      </c>
      <c r="K26" s="254"/>
      <c r="L26" s="254"/>
      <c r="M26" s="254"/>
      <c r="N26" s="256"/>
      <c r="O26" s="178"/>
      <c r="P26" s="229"/>
      <c r="Q26" s="273"/>
    </row>
    <row r="27" spans="1:29" s="173" customFormat="1" ht="19.149999999999999" customHeight="1">
      <c r="A27" s="220"/>
      <c r="B27" s="221"/>
      <c r="C27" s="222" t="s">
        <v>59</v>
      </c>
      <c r="D27" s="223" t="str">
        <f>"&gt; 最小楼层高度"&amp;'轿厢&gt;井道'!B148&amp;"；"</f>
        <v>&gt; 最小楼层高度2600；</v>
      </c>
      <c r="E27" s="223"/>
      <c r="F27" s="222"/>
      <c r="G27" s="223"/>
      <c r="H27" s="222"/>
      <c r="I27" s="222"/>
      <c r="J27" s="259" t="str">
        <f ca="1">IF(OFFSET(S8,0,AD8,1,1)="-","载重或速度超出标准配置表范围，请检查; ","")&amp;'轿厢&gt;井道'!G144&amp;'轿厢&gt;井道'!G145&amp;'轿厢&gt;井道'!G146&amp;IF(OR(AND(C15="C2",OR(E15&lt;600,E15&gt;1300)),AND(C15="S2",OR(E15&lt;600,E15&gt;2000)),AND(C15="C4",OR(E15&lt;1300,E15&gt;3000)),AND(C15="S3",OR(E15&lt;800,E15&gt;2000))),"门宽请询售前","")</f>
        <v/>
      </c>
      <c r="K27" s="223"/>
      <c r="L27" s="260"/>
      <c r="M27" s="223"/>
      <c r="N27" s="261"/>
      <c r="O27" s="220"/>
      <c r="P27" s="262"/>
    </row>
    <row r="28" spans="1:29" ht="15.95" customHeight="1">
      <c r="A28" s="178"/>
      <c r="B28" s="221"/>
      <c r="C28" s="222"/>
      <c r="D28" s="224" t="str">
        <f ca="1">IF(M21&gt;E9,"&gt; 轿厢面积对应载重"&amp;M21&amp;"kg；","")</f>
        <v/>
      </c>
      <c r="E28" s="223"/>
      <c r="F28" s="222"/>
      <c r="G28" s="223"/>
      <c r="H28" s="222"/>
      <c r="I28" s="222"/>
      <c r="J28" s="259" t="str">
        <f>'轿厢&gt;井道'!G143</f>
        <v/>
      </c>
      <c r="K28" s="223"/>
      <c r="L28" s="260"/>
      <c r="M28" s="223"/>
      <c r="N28" s="261"/>
      <c r="O28" s="178"/>
      <c r="P28" s="229"/>
      <c r="Q28" s="274"/>
    </row>
    <row r="29" spans="1:29" ht="15.95" customHeight="1">
      <c r="A29" s="178"/>
      <c r="B29" s="221"/>
      <c r="C29" s="223"/>
      <c r="D29" s="224" t="str">
        <f ca="1">IF('轿厢&gt;井道'!B50&lt;&gt;"","&gt; "&amp;'轿厢&gt;井道'!B50,"")</f>
        <v/>
      </c>
      <c r="E29" s="223"/>
      <c r="F29" s="222"/>
      <c r="G29" s="223"/>
      <c r="H29" s="222"/>
      <c r="I29" s="222"/>
      <c r="J29" s="263" t="str">
        <f ca="1">IF(IFERROR(I9&gt;'轿厢&gt;井道'!B151,FALSE),"超出标配运行高度最大值 "&amp;'轿厢&gt;井道'!B151&amp;"m；","")</f>
        <v/>
      </c>
      <c r="K29" s="225"/>
      <c r="L29" s="260"/>
      <c r="M29" s="223"/>
      <c r="N29" s="261"/>
      <c r="O29" s="178"/>
      <c r="P29" s="229"/>
    </row>
    <row r="30" spans="1:29" ht="15.95" customHeight="1">
      <c r="A30" s="178"/>
      <c r="B30" s="221"/>
      <c r="C30" s="225"/>
      <c r="D30" s="223" t="s">
        <v>60</v>
      </c>
      <c r="E30" s="225"/>
      <c r="F30" s="225"/>
      <c r="G30" s="225"/>
      <c r="H30" s="225"/>
      <c r="I30" s="225"/>
      <c r="J30" s="258" t="str">
        <f>IF('轿厢&gt;井道'!G134,"门宽超出轿厢范围，请减小； ","")&amp;IF(OR(R8,R9),"此梯型规格不适用后对重","")</f>
        <v/>
      </c>
      <c r="K30" s="225"/>
      <c r="L30" s="225"/>
      <c r="M30" s="225"/>
      <c r="N30" s="225"/>
      <c r="O30" s="178"/>
      <c r="P30" s="229"/>
    </row>
    <row r="32" spans="1:29" hidden="1">
      <c r="A32" s="226" t="s">
        <v>61</v>
      </c>
    </row>
    <row r="33" spans="1:31" hidden="1">
      <c r="A33" s="226" t="str">
        <f>C9</f>
        <v>LTHW</v>
      </c>
      <c r="B33" s="226">
        <f>E9</f>
        <v>3000</v>
      </c>
      <c r="C33" s="226">
        <f>G9</f>
        <v>0.5</v>
      </c>
      <c r="D33" s="226">
        <f>I9</f>
        <v>20</v>
      </c>
      <c r="E33" s="226">
        <f>C12</f>
        <v>2600</v>
      </c>
      <c r="F33" s="226">
        <f>E12</f>
        <v>2150</v>
      </c>
      <c r="G33" s="226">
        <f>G12</f>
        <v>2200</v>
      </c>
      <c r="H33" s="226" t="str">
        <f>I12</f>
        <v>SIDE</v>
      </c>
      <c r="I33" s="226" t="str">
        <f>K12</f>
        <v>No</v>
      </c>
      <c r="J33" s="226" t="str">
        <f>C15</f>
        <v>S2</v>
      </c>
      <c r="K33" s="226">
        <f>E15</f>
        <v>1700</v>
      </c>
      <c r="L33" s="226">
        <f>G15</f>
        <v>2100</v>
      </c>
      <c r="M33" s="226" t="str">
        <f>I15</f>
        <v>No</v>
      </c>
      <c r="N33" s="226" t="str">
        <f>K15</f>
        <v>No</v>
      </c>
      <c r="O33" s="226" t="str">
        <f>M15</f>
        <v>未启用</v>
      </c>
      <c r="P33" s="226" t="str">
        <f>C18</f>
        <v>EN81-1</v>
      </c>
      <c r="Q33" s="226" t="str">
        <f>E18</f>
        <v>Offset</v>
      </c>
      <c r="R33" s="226" t="str">
        <f>G18</f>
        <v>Local allow</v>
      </c>
      <c r="S33" s="226"/>
      <c r="T33" s="226">
        <f ca="1">C22</f>
        <v>3000</v>
      </c>
      <c r="U33" s="226" t="str">
        <f ca="1">E22</f>
        <v>-</v>
      </c>
      <c r="V33" s="226" t="str">
        <f>C24</f>
        <v>Enter</v>
      </c>
      <c r="W33" s="226" t="str">
        <f>E24</f>
        <v>Enter</v>
      </c>
      <c r="X33" s="226" t="str">
        <f>G24</f>
        <v>Enter</v>
      </c>
      <c r="Y33" s="226" t="str">
        <f>I24</f>
        <v>Enter</v>
      </c>
      <c r="Z33" s="226">
        <f ca="1">C25</f>
        <v>3830</v>
      </c>
      <c r="AA33" s="226">
        <f ca="1">E25</f>
        <v>2600</v>
      </c>
      <c r="AB33" s="226">
        <f ca="1">G25</f>
        <v>4650</v>
      </c>
      <c r="AC33" s="226">
        <f ca="1">I25</f>
        <v>1400</v>
      </c>
      <c r="AD33" s="226" t="str">
        <f ca="1">J25&amp;J26&amp;J27&amp;J28&amp;J29&amp;J30</f>
        <v/>
      </c>
      <c r="AE33" s="226" t="str">
        <f>E3</f>
        <v>( Please Enter Here )</v>
      </c>
    </row>
  </sheetData>
  <protectedRanges>
    <protectedRange sqref="L2 L3:N4" name="区域1"/>
  </protectedRanges>
  <mergeCells count="7">
    <mergeCell ref="L4:N4"/>
    <mergeCell ref="B1:E1"/>
    <mergeCell ref="K1:M1"/>
    <mergeCell ref="D2:K2"/>
    <mergeCell ref="C3:D3"/>
    <mergeCell ref="E3:J3"/>
    <mergeCell ref="L3:N3"/>
  </mergeCells>
  <phoneticPr fontId="145" type="noConversion"/>
  <conditionalFormatting sqref="E9">
    <cfRule type="cellIs" dxfId="16" priority="6" operator="lessThan">
      <formula>$M$21</formula>
    </cfRule>
  </conditionalFormatting>
  <conditionalFormatting sqref="I12">
    <cfRule type="expression" dxfId="15" priority="14">
      <formula>R8</formula>
    </cfRule>
  </conditionalFormatting>
  <conditionalFormatting sqref="K12">
    <cfRule type="expression" dxfId="14" priority="12">
      <formula>R7</formula>
    </cfRule>
  </conditionalFormatting>
  <conditionalFormatting sqref="I15">
    <cfRule type="expression" dxfId="13" priority="41">
      <formula>R9</formula>
    </cfRule>
  </conditionalFormatting>
  <conditionalFormatting sqref="K15">
    <cfRule type="expression" dxfId="12" priority="1">
      <formula>T9</formula>
    </cfRule>
  </conditionalFormatting>
  <conditionalFormatting sqref="M15">
    <cfRule type="expression" dxfId="11" priority="9">
      <formula>V7</formula>
    </cfRule>
  </conditionalFormatting>
  <conditionalFormatting sqref="N27">
    <cfRule type="cellIs" dxfId="10" priority="21" operator="equal">
      <formula>"NG"</formula>
    </cfRule>
  </conditionalFormatting>
  <conditionalFormatting sqref="N28">
    <cfRule type="cellIs" dxfId="9" priority="20" operator="equal">
      <formula>"NG"</formula>
    </cfRule>
  </conditionalFormatting>
  <conditionalFormatting sqref="D29">
    <cfRule type="containsText" dxfId="8" priority="8" operator="containsText" text="&lt;&gt;&quot;&quot;">
      <formula>NOT(ISERROR(SEARCH("&lt;&gt;""""",D29)))</formula>
    </cfRule>
  </conditionalFormatting>
  <conditionalFormatting sqref="N29">
    <cfRule type="cellIs" dxfId="7" priority="19" operator="equal">
      <formula>"NG"</formula>
    </cfRule>
  </conditionalFormatting>
  <dataValidations count="17">
    <dataValidation type="list" allowBlank="1" showInputMessage="1" showErrorMessage="1" errorTitle="输入错误" error="请从下拉菜单中选择梯型" sqref="C9" xr:uid="{00000000-0002-0000-0000-000000000000}">
      <formula1>"LTHX,LTHW,EVIK,EVIN,LTHX Car,LTHW Car"</formula1>
    </dataValidation>
    <dataValidation type="list" allowBlank="1" showInputMessage="1" sqref="I9" xr:uid="{00000000-0002-0000-0000-000003000000}">
      <formula1>"20,60"</formula1>
    </dataValidation>
    <dataValidation type="list" allowBlank="1" showInputMessage="1" sqref="C12" xr:uid="{00000000-0002-0000-0000-000004000000}">
      <formula1>"1100,1400,1500,1600,1700,1800,1900,2100,2200,2500,2800"</formula1>
    </dataValidation>
    <dataValidation type="list" allowBlank="1" showInputMessage="1" sqref="E12" xr:uid="{00000000-0002-0000-0000-000005000000}">
      <formula1>"1100,1400,1600,1700,2100,2500,2800,3100"</formula1>
    </dataValidation>
    <dataValidation type="list" errorStyle="information" allowBlank="1" showInputMessage="1" sqref="G12" xr:uid="{00000000-0002-0000-0000-000006000000}">
      <formula1>"2100,2200,2300,2400,2500,2600,2700"</formula1>
    </dataValidation>
    <dataValidation type="list" allowBlank="1" showInputMessage="1" sqref="I12" xr:uid="{00000000-0002-0000-0000-000007000000}">
      <formula1>"SIDE,REAR"</formula1>
    </dataValidation>
    <dataValidation type="list" allowBlank="1" showInputMessage="1" showErrorMessage="1" sqref="K12" xr:uid="{00000000-0002-0000-0000-000008000000}">
      <formula1>"No"</formula1>
    </dataValidation>
    <dataValidation type="list" allowBlank="1" showInputMessage="1" sqref="E15" xr:uid="{00000000-0002-0000-0000-00000A000000}">
      <formula1>"700,800,900,1000,1100,1200,1300,1600,1800,2100,2400"</formula1>
    </dataValidation>
    <dataValidation type="list" allowBlank="1" showInputMessage="1" sqref="G15" xr:uid="{00000000-0002-0000-0000-00000B000000}">
      <formula1>"2000,2100,2200,2300,2400"</formula1>
    </dataValidation>
    <dataValidation type="list" allowBlank="1" showInputMessage="1" showErrorMessage="1" sqref="I15" xr:uid="{00000000-0002-0000-0000-00000C000000}">
      <formula1>"Yes,No"</formula1>
    </dataValidation>
    <dataValidation type="list" allowBlank="1" showInputMessage="1" showErrorMessage="1" sqref="K15" xr:uid="{00000000-0002-0000-0000-00000D000000}">
      <formula1>"No,Yes"</formula1>
    </dataValidation>
    <dataValidation type="list" allowBlank="1" showInputMessage="1" showErrorMessage="1" sqref="M15" xr:uid="{00000000-0002-0000-0000-00000E000000}">
      <formula1>"未启用,"</formula1>
    </dataValidation>
    <dataValidation type="list" allowBlank="1" showInputMessage="1" showErrorMessage="1" sqref="C18" xr:uid="{00000000-0002-0000-0000-00000F000000}">
      <formula1>"EN81-1,EN81-20,GOST 33984.1"</formula1>
    </dataValidation>
    <dataValidation type="list" allowBlank="1" showInputMessage="1" sqref="E18" xr:uid="{00000000-0002-0000-0000-000010000000}">
      <formula1>"0,Offset"</formula1>
    </dataValidation>
    <dataValidation type="list" allowBlank="1" showInputMessage="1" showErrorMessage="1" sqref="G18" xr:uid="{00000000-0002-0000-0000-000011000000}">
      <formula1>"Not allow,Local allow"</formula1>
    </dataValidation>
    <dataValidation type="list" allowBlank="1" showInputMessage="1" showErrorMessage="1" sqref="I18" xr:uid="{00000000-0002-0000-0000-000012000000}">
      <formula1>"Critical,Normal,Well to do"</formula1>
    </dataValidation>
    <dataValidation type="list" allowBlank="1" showInputMessage="1" sqref="M18" xr:uid="{00000000-0002-0000-0000-000013000000}">
      <formula1>"20,25,30"</formula1>
    </dataValidation>
  </dataValidations>
  <printOptions horizontalCentered="1"/>
  <pageMargins left="0.31496062992126" right="0.31496062992126" top="0.23622047244094499" bottom="0.78740157480314998" header="0.31496062992126" footer="0.35433070866141703"/>
  <pageSetup paperSize="9" scale="96" fitToHeight="0" orientation="landscape"/>
  <headerFooter>
    <oddFooter>&amp;L&amp;"TKTypeRegular,常规"&amp;8     Chengnan 5 Rd., South District Zhongshan 528455, Guangdong Province,P.R.China
     Tel: (+86) 760 8889 0723 Fax: (+86) 760 8889 0612
     Internet: www.thyssenkruppelevator.com.cn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91" r:id="rId3" name="Button 19">
              <controlPr defaultSize="0" print="0" autoPict="0" macro="[0]!Sheet3.Record_into">
                <anchor moveWithCells="1" sizeWithCells="1">
                  <from>
                    <xdr:col>12</xdr:col>
                    <xdr:colOff>76200</xdr:colOff>
                    <xdr:row>19</xdr:row>
                    <xdr:rowOff>47625</xdr:rowOff>
                  </from>
                  <to>
                    <xdr:col>13</xdr:col>
                    <xdr:colOff>400050</xdr:colOff>
                    <xdr:row>19</xdr:row>
                    <xdr:rowOff>304800</xdr:rowOff>
                  </to>
                </anchor>
              </controlPr>
            </control>
          </mc:Choice>
        </mc:AlternateContent>
        <mc:AlternateContent xmlns:mc="http://schemas.openxmlformats.org/markup-compatibility/2006">
          <mc:Choice Requires="x14">
            <control shapeId="3092" r:id="rId4" name="Button 20">
              <controlPr defaultSize="0" print="0" autoPict="0" macro="[0]!Sheet3.Standard_Copy">
                <anchor moveWithCells="1" sizeWithCells="1">
                  <from>
                    <xdr:col>9</xdr:col>
                    <xdr:colOff>438150</xdr:colOff>
                    <xdr:row>7</xdr:row>
                    <xdr:rowOff>200025</xdr:rowOff>
                  </from>
                  <to>
                    <xdr:col>11</xdr:col>
                    <xdr:colOff>257175</xdr:colOff>
                    <xdr:row>8</xdr:row>
                    <xdr:rowOff>228600</xdr:rowOff>
                  </to>
                </anchor>
              </controlPr>
            </control>
          </mc:Choice>
        </mc:AlternateContent>
        <mc:AlternateContent xmlns:mc="http://schemas.openxmlformats.org/markup-compatibility/2006">
          <mc:Choice Requires="x14">
            <control shapeId="3099" r:id="rId5" name="Button 27">
              <controlPr defaultSize="0" print="0" autoPict="0" macro="[0]!Sheet3.Get_reference">
                <anchor moveWithCells="1" sizeWithCells="1">
                  <from>
                    <xdr:col>12</xdr:col>
                    <xdr:colOff>57150</xdr:colOff>
                    <xdr:row>6</xdr:row>
                    <xdr:rowOff>38100</xdr:rowOff>
                  </from>
                  <to>
                    <xdr:col>13</xdr:col>
                    <xdr:colOff>400050</xdr:colOff>
                    <xdr:row>6</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6828A620-F63B-4932-BBB9-C2955B44F1DD}">
            <x14:iconSet iconSet="4TrafficLights" custom="1">
              <x14:cfvo type="percent">
                <xm:f>0</xm:f>
              </x14:cfvo>
              <x14:cfvo type="num">
                <xm:f>$C$25</xm:f>
              </x14:cfvo>
              <x14:cfvo type="formula">
                <xm:f>($C$25+50)</xm:f>
              </x14:cfvo>
              <x14:cfvo type="formula" gte="0">
                <xm:f>($C$25+1000)</xm:f>
              </x14:cfvo>
              <x14:cfIcon iconSet="3TrafficLights1" iconId="0"/>
              <x14:cfIcon iconSet="3TrafficLights1" iconId="1"/>
              <x14:cfIcon iconSet="3TrafficLights1" iconId="2"/>
              <x14:cfIcon iconSet="3TrafficLights1" iconId="1"/>
            </x14:iconSet>
          </x14:cfRule>
          <xm:sqref>C24</xm:sqref>
        </x14:conditionalFormatting>
        <x14:conditionalFormatting xmlns:xm="http://schemas.microsoft.com/office/excel/2006/main">
          <x14:cfRule type="iconSet" priority="3" id="{5CA8E0FB-F40B-4956-A887-87D7A3A536D5}">
            <x14:iconSet iconSet="4TrafficLights" custom="1">
              <x14:cfvo type="percent">
                <xm:f>0</xm:f>
              </x14:cfvo>
              <x14:cfvo type="num">
                <xm:f>$E$25</xm:f>
              </x14:cfvo>
              <x14:cfvo type="formula">
                <xm:f>($E$25+50)</xm:f>
              </x14:cfvo>
              <x14:cfvo type="formula" gte="0">
                <xm:f>($E$25+1000)</xm:f>
              </x14:cfvo>
              <x14:cfIcon iconSet="3TrafficLights1" iconId="0"/>
              <x14:cfIcon iconSet="3TrafficLights1" iconId="1"/>
              <x14:cfIcon iconSet="3TrafficLights1" iconId="2"/>
              <x14:cfIcon iconSet="3TrafficLights1" iconId="1"/>
            </x14:iconSet>
          </x14:cfRule>
          <xm:sqref>E24</xm:sqref>
        </x14:conditionalFormatting>
        <x14:conditionalFormatting xmlns:xm="http://schemas.microsoft.com/office/excel/2006/main">
          <x14:cfRule type="iconSet" priority="4" id="{A345B1B5-FC29-47C7-989A-32FA70C74BD2}">
            <x14:iconSet iconSet="4TrafficLights" custom="1">
              <x14:cfvo type="percent">
                <xm:f>0</xm:f>
              </x14:cfvo>
              <x14:cfvo type="num">
                <xm:f>$G$25</xm:f>
              </x14:cfvo>
              <x14:cfvo type="formula">
                <xm:f>($G$25+100)</xm:f>
              </x14:cfvo>
              <x14:cfvo type="formula">
                <xm:f>($G$25+2000)</xm:f>
              </x14:cfvo>
              <x14:cfIcon iconSet="3TrafficLights1" iconId="0"/>
              <x14:cfIcon iconSet="3TrafficLights1" iconId="1"/>
              <x14:cfIcon iconSet="3TrafficLights1" iconId="2"/>
              <x14:cfIcon iconSet="3TrafficLights1" iconId="1"/>
            </x14:iconSet>
          </x14:cfRule>
          <xm:sqref>G24</xm:sqref>
        </x14:conditionalFormatting>
        <x14:conditionalFormatting xmlns:xm="http://schemas.microsoft.com/office/excel/2006/main">
          <x14:cfRule type="iconSet" priority="5" id="{2FABD71D-AAB1-489D-B28B-1AD2A2CD8959}">
            <x14:iconSet iconSet="4TrafficLights" custom="1">
              <x14:cfvo type="percent">
                <xm:f>0</xm:f>
              </x14:cfvo>
              <x14:cfvo type="num">
                <xm:f>$I$25</xm:f>
              </x14:cfvo>
              <x14:cfvo type="formula">
                <xm:f>($I$25+100)</xm:f>
              </x14:cfvo>
              <x14:cfvo type="num" gte="0">
                <xm:f>2500</xm:f>
              </x14:cfvo>
              <x14:cfIcon iconSet="3TrafficLights1" iconId="0"/>
              <x14:cfIcon iconSet="3TrafficLights1" iconId="1"/>
              <x14:cfIcon iconSet="3TrafficLights1" iconId="2"/>
              <x14:cfIcon iconSet="3TrafficLights1" iconId="1"/>
            </x14:iconSet>
          </x14:cfRule>
          <xm:sqref>I24</xm:sqref>
        </x14:conditionalFormatting>
        <x14:conditionalFormatting xmlns:xm="http://schemas.microsoft.com/office/excel/2006/main">
          <x14:cfRule type="containsText" priority="7" operator="containsText" id="{791F36C1-43B1-4774-A2AD-41FD4E4C65AF}">
            <xm:f>NOT(ISERROR(SEARCH(TRUE,D29)))</xm:f>
            <xm:f>TRUE</xm:f>
            <x14:dxf>
              <font>
                <color rgb="FF9C0006"/>
              </font>
              <fill>
                <patternFill patternType="solid">
                  <bgColor rgb="FFFFC7CE"/>
                </patternFill>
              </fill>
            </x14:dxf>
          </x14:cfRule>
          <xm:sqref>D29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1000000}">
          <x14:formula1>
            <xm:f>OFFSET(标准配置!$A$2,1,MATCH($C$9,标准配置!$B$2:$G$2,0),14,1)</xm:f>
          </x14:formula1>
          <xm:sqref>E9</xm:sqref>
        </x14:dataValidation>
        <x14:dataValidation type="list" allowBlank="1" showInputMessage="1" xr:uid="{00000000-0002-0000-0000-000002000000}">
          <x14:formula1>
            <xm:f>OFFSET(标准配置!$A$19,1,MATCH($C$9,标准配置!$B$19:$G$19,),6,1)</xm:f>
          </x14:formula1>
          <xm:sqref>G9</xm:sqref>
        </x14:dataValidation>
        <x14:dataValidation type="list" allowBlank="1" showInputMessage="1" showErrorMessage="1" xr:uid="{00000000-0002-0000-0000-000009000000}">
          <x14:formula1>
            <xm:f>井道尺寸数据!$B$67:$F$67</xm:f>
          </x14:formula1>
          <xm:sqref>C15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F23"/>
  <sheetViews>
    <sheetView topLeftCell="A2" workbookViewId="0">
      <selection activeCell="C7" sqref="C7"/>
    </sheetView>
  </sheetViews>
  <sheetFormatPr defaultColWidth="9" defaultRowHeight="14.25"/>
  <cols>
    <col min="1" max="1" width="9.25" style="168" customWidth="1"/>
    <col min="2" max="31" width="8.75" style="168"/>
    <col min="32" max="32" width="17.125" style="168" customWidth="1"/>
  </cols>
  <sheetData>
    <row r="1" spans="1:32" hidden="1"/>
    <row r="2" spans="1:32" ht="17.25">
      <c r="E2" s="282" t="s">
        <v>62</v>
      </c>
      <c r="F2" s="282"/>
      <c r="G2" s="282"/>
      <c r="H2" s="282"/>
      <c r="I2" s="282"/>
      <c r="J2" s="282"/>
    </row>
    <row r="3" spans="1:32" hidden="1">
      <c r="A3" s="168" t="s">
        <v>63</v>
      </c>
      <c r="B3" s="169">
        <f t="array" ref="B3">MAX((A:A&lt;&gt;"")*(ROW(A:A)))</f>
        <v>23</v>
      </c>
    </row>
    <row r="4" spans="1:32" ht="46.15" customHeight="1">
      <c r="A4" s="170" t="s">
        <v>64</v>
      </c>
      <c r="B4" s="170" t="s">
        <v>65</v>
      </c>
      <c r="C4" s="170" t="s">
        <v>66</v>
      </c>
      <c r="D4" s="170" t="s">
        <v>67</v>
      </c>
      <c r="E4" s="170" t="s">
        <v>22</v>
      </c>
      <c r="F4" s="171" t="s">
        <v>23</v>
      </c>
      <c r="G4" s="171" t="s">
        <v>30</v>
      </c>
      <c r="H4" s="171" t="s">
        <v>33</v>
      </c>
      <c r="I4" s="171" t="s">
        <v>68</v>
      </c>
      <c r="J4" s="171" t="s">
        <v>35</v>
      </c>
      <c r="K4" s="171" t="s">
        <v>42</v>
      </c>
      <c r="L4" s="171" t="s">
        <v>47</v>
      </c>
      <c r="M4" s="171" t="s">
        <v>69</v>
      </c>
      <c r="N4" s="171" t="s">
        <v>70</v>
      </c>
      <c r="O4" s="171" t="s">
        <v>71</v>
      </c>
      <c r="P4" s="171" t="s">
        <v>37</v>
      </c>
      <c r="Q4" s="171" t="s">
        <v>72</v>
      </c>
      <c r="R4" s="171" t="s">
        <v>73</v>
      </c>
      <c r="S4" s="171"/>
      <c r="T4" s="171" t="s">
        <v>74</v>
      </c>
      <c r="U4" s="171" t="s">
        <v>75</v>
      </c>
      <c r="V4" s="171" t="s">
        <v>76</v>
      </c>
      <c r="W4" s="171" t="s">
        <v>77</v>
      </c>
      <c r="X4" s="171" t="s">
        <v>78</v>
      </c>
      <c r="Y4" s="171" t="s">
        <v>79</v>
      </c>
      <c r="Z4" s="171" t="s">
        <v>80</v>
      </c>
      <c r="AA4" s="171" t="s">
        <v>81</v>
      </c>
      <c r="AB4" s="171" t="s">
        <v>82</v>
      </c>
      <c r="AC4" s="171" t="s">
        <v>83</v>
      </c>
      <c r="AD4" s="171" t="s">
        <v>84</v>
      </c>
      <c r="AE4" s="171" t="s">
        <v>85</v>
      </c>
      <c r="AF4" s="171" t="s">
        <v>86</v>
      </c>
    </row>
    <row r="5" spans="1:32">
      <c r="A5" s="168" t="s">
        <v>87</v>
      </c>
      <c r="B5" s="168">
        <v>1000</v>
      </c>
      <c r="C5" s="168">
        <v>1</v>
      </c>
      <c r="D5" s="168">
        <v>20</v>
      </c>
      <c r="E5" s="168">
        <v>2100</v>
      </c>
      <c r="F5" s="168">
        <v>1100</v>
      </c>
      <c r="G5" s="168">
        <v>2100</v>
      </c>
      <c r="H5" s="168" t="s">
        <v>34</v>
      </c>
      <c r="I5" s="168" t="s">
        <v>20</v>
      </c>
      <c r="J5" s="168" t="s">
        <v>31</v>
      </c>
      <c r="K5" s="168">
        <v>1200</v>
      </c>
      <c r="L5" s="168">
        <v>2000</v>
      </c>
      <c r="M5" s="168" t="s">
        <v>20</v>
      </c>
      <c r="N5" s="168" t="s">
        <v>32</v>
      </c>
      <c r="O5" s="168" t="s">
        <v>32</v>
      </c>
      <c r="P5" s="168" t="s">
        <v>88</v>
      </c>
      <c r="Q5" s="168" t="s">
        <v>44</v>
      </c>
      <c r="R5" s="168" t="s">
        <v>89</v>
      </c>
      <c r="T5" s="168">
        <v>1000</v>
      </c>
      <c r="U5" s="168">
        <v>13</v>
      </c>
      <c r="V5" s="168" t="s">
        <v>56</v>
      </c>
      <c r="W5" s="168" t="s">
        <v>56</v>
      </c>
      <c r="X5" s="168" t="s">
        <v>56</v>
      </c>
      <c r="Y5" s="168" t="s">
        <v>56</v>
      </c>
      <c r="Z5" s="168">
        <v>2520</v>
      </c>
      <c r="AA5" s="168">
        <v>1780</v>
      </c>
      <c r="AB5" s="168">
        <v>3600</v>
      </c>
      <c r="AC5" s="168">
        <v>1200</v>
      </c>
      <c r="AD5" s="168" t="s">
        <v>90</v>
      </c>
      <c r="AE5" s="168" t="s">
        <v>2</v>
      </c>
      <c r="AF5" s="172">
        <v>45265.593923611101</v>
      </c>
    </row>
    <row r="6" spans="1:32">
      <c r="A6" s="168" t="s">
        <v>91</v>
      </c>
      <c r="B6" s="168">
        <v>3000</v>
      </c>
      <c r="C6" s="168">
        <v>1</v>
      </c>
      <c r="D6" s="168">
        <v>20</v>
      </c>
      <c r="E6" s="168">
        <v>2200</v>
      </c>
      <c r="F6" s="168">
        <v>2500</v>
      </c>
      <c r="G6" s="168">
        <v>2200</v>
      </c>
      <c r="H6" s="168" t="s">
        <v>19</v>
      </c>
      <c r="I6" s="168" t="s">
        <v>20</v>
      </c>
      <c r="J6" s="168" t="s">
        <v>36</v>
      </c>
      <c r="K6" s="168">
        <v>1700</v>
      </c>
      <c r="L6" s="168">
        <v>2100</v>
      </c>
      <c r="M6" s="168" t="s">
        <v>20</v>
      </c>
      <c r="N6" s="168" t="s">
        <v>32</v>
      </c>
      <c r="O6" s="168" t="s">
        <v>32</v>
      </c>
      <c r="P6" s="168" t="s">
        <v>43</v>
      </c>
      <c r="Q6" s="168" t="s">
        <v>44</v>
      </c>
      <c r="R6" s="168" t="s">
        <v>89</v>
      </c>
      <c r="T6" s="168">
        <v>3000</v>
      </c>
      <c r="U6" s="168" t="s">
        <v>92</v>
      </c>
      <c r="V6" s="168" t="s">
        <v>56</v>
      </c>
      <c r="W6" s="168" t="s">
        <v>56</v>
      </c>
      <c r="X6" s="168" t="s">
        <v>56</v>
      </c>
      <c r="Y6" s="168" t="s">
        <v>56</v>
      </c>
      <c r="Z6" s="168">
        <v>3160</v>
      </c>
      <c r="AA6" s="168">
        <v>2950</v>
      </c>
      <c r="AB6" s="168">
        <v>3950</v>
      </c>
      <c r="AC6" s="168">
        <v>1400</v>
      </c>
      <c r="AD6" s="168" t="s">
        <v>90</v>
      </c>
      <c r="AE6" s="168" t="s">
        <v>2</v>
      </c>
      <c r="AF6" s="172">
        <v>45302.363101851799</v>
      </c>
    </row>
    <row r="7" spans="1:32">
      <c r="A7" s="168" t="s">
        <v>91</v>
      </c>
      <c r="B7" s="168">
        <v>5000</v>
      </c>
      <c r="C7" s="168">
        <v>1</v>
      </c>
      <c r="D7" s="168">
        <v>20</v>
      </c>
      <c r="E7" s="168">
        <v>2500</v>
      </c>
      <c r="F7" s="168">
        <v>3400</v>
      </c>
      <c r="G7" s="168">
        <v>2200</v>
      </c>
      <c r="H7" s="168" t="s">
        <v>19</v>
      </c>
      <c r="I7" s="168" t="s">
        <v>20</v>
      </c>
      <c r="J7" s="168" t="s">
        <v>36</v>
      </c>
      <c r="K7" s="168">
        <v>2200</v>
      </c>
      <c r="L7" s="168">
        <v>2100</v>
      </c>
      <c r="M7" s="168" t="s">
        <v>20</v>
      </c>
      <c r="N7" s="168" t="s">
        <v>32</v>
      </c>
      <c r="O7" s="168" t="s">
        <v>32</v>
      </c>
      <c r="P7" s="168" t="s">
        <v>43</v>
      </c>
      <c r="Q7" s="168" t="s">
        <v>44</v>
      </c>
      <c r="R7" s="168" t="s">
        <v>89</v>
      </c>
      <c r="T7" s="168">
        <v>5000</v>
      </c>
      <c r="U7" s="168" t="s">
        <v>92</v>
      </c>
      <c r="V7" s="168" t="s">
        <v>56</v>
      </c>
      <c r="W7" s="168" t="s">
        <v>56</v>
      </c>
      <c r="X7" s="168" t="s">
        <v>56</v>
      </c>
      <c r="Y7" s="168" t="s">
        <v>56</v>
      </c>
      <c r="Z7" s="168">
        <v>3640</v>
      </c>
      <c r="AA7" s="168">
        <v>3850</v>
      </c>
      <c r="AB7" s="168">
        <v>3950</v>
      </c>
      <c r="AC7" s="168">
        <v>1500</v>
      </c>
      <c r="AD7" s="168" t="s">
        <v>90</v>
      </c>
      <c r="AE7" s="168" t="s">
        <v>2</v>
      </c>
      <c r="AF7" s="172">
        <v>45302.367152777799</v>
      </c>
    </row>
    <row r="8" spans="1:32">
      <c r="A8" s="168" t="s">
        <v>91</v>
      </c>
      <c r="B8" s="168">
        <v>2000</v>
      </c>
      <c r="C8" s="168">
        <v>1</v>
      </c>
      <c r="D8" s="168">
        <v>40</v>
      </c>
      <c r="E8" s="168">
        <v>1700</v>
      </c>
      <c r="F8" s="168">
        <v>2300</v>
      </c>
      <c r="G8" s="168">
        <v>2500</v>
      </c>
      <c r="H8" s="168" t="s">
        <v>19</v>
      </c>
      <c r="I8" s="168" t="s">
        <v>20</v>
      </c>
      <c r="J8" s="168" t="s">
        <v>93</v>
      </c>
      <c r="K8" s="168">
        <v>1000</v>
      </c>
      <c r="L8" s="168">
        <v>2200</v>
      </c>
      <c r="M8" s="168" t="s">
        <v>20</v>
      </c>
      <c r="N8" s="168" t="s">
        <v>32</v>
      </c>
      <c r="O8" s="168" t="s">
        <v>32</v>
      </c>
      <c r="P8" s="168" t="s">
        <v>43</v>
      </c>
      <c r="Q8" s="168" t="s">
        <v>44</v>
      </c>
      <c r="R8" s="168" t="s">
        <v>89</v>
      </c>
      <c r="T8" s="168">
        <v>2000</v>
      </c>
      <c r="U8" s="168" t="s">
        <v>92</v>
      </c>
      <c r="V8" s="168" t="s">
        <v>56</v>
      </c>
      <c r="W8" s="168" t="s">
        <v>56</v>
      </c>
      <c r="X8" s="168" t="s">
        <v>56</v>
      </c>
      <c r="Y8" s="168" t="s">
        <v>56</v>
      </c>
      <c r="Z8" s="168">
        <v>2580</v>
      </c>
      <c r="AA8" s="168">
        <v>2680</v>
      </c>
      <c r="AB8" s="168">
        <v>4250</v>
      </c>
      <c r="AC8" s="168">
        <v>1350</v>
      </c>
      <c r="AD8" s="168" t="s">
        <v>90</v>
      </c>
      <c r="AE8" s="168" t="s">
        <v>2</v>
      </c>
      <c r="AF8" s="172">
        <v>45314.601770833302</v>
      </c>
    </row>
    <row r="9" spans="1:32">
      <c r="A9" s="168" t="s">
        <v>91</v>
      </c>
      <c r="B9" s="168">
        <v>5000</v>
      </c>
      <c r="C9" s="168">
        <v>0.5</v>
      </c>
      <c r="D9" s="168">
        <v>20</v>
      </c>
      <c r="E9" s="168">
        <v>2600</v>
      </c>
      <c r="F9" s="168">
        <v>3300</v>
      </c>
      <c r="G9" s="168">
        <v>2200</v>
      </c>
      <c r="H9" s="168" t="s">
        <v>19</v>
      </c>
      <c r="I9" s="168" t="s">
        <v>20</v>
      </c>
      <c r="J9" s="168" t="s">
        <v>36</v>
      </c>
      <c r="K9" s="168">
        <v>2100</v>
      </c>
      <c r="L9" s="168">
        <v>2100</v>
      </c>
      <c r="M9" s="168" t="s">
        <v>20</v>
      </c>
      <c r="N9" s="168" t="s">
        <v>32</v>
      </c>
      <c r="O9" s="168" t="s">
        <v>32</v>
      </c>
      <c r="P9" s="168" t="s">
        <v>43</v>
      </c>
      <c r="Q9" s="168" t="s">
        <v>44</v>
      </c>
      <c r="R9" s="168" t="s">
        <v>89</v>
      </c>
      <c r="T9" s="168">
        <v>5000</v>
      </c>
      <c r="U9" s="168" t="s">
        <v>92</v>
      </c>
      <c r="V9" s="168" t="s">
        <v>56</v>
      </c>
      <c r="W9" s="168" t="s">
        <v>56</v>
      </c>
      <c r="X9" s="168" t="s">
        <v>56</v>
      </c>
      <c r="Y9" s="168" t="s">
        <v>56</v>
      </c>
      <c r="Z9" s="168">
        <v>3740</v>
      </c>
      <c r="AA9" s="168">
        <v>3750</v>
      </c>
      <c r="AB9" s="168">
        <v>3950</v>
      </c>
      <c r="AC9" s="168">
        <v>1500</v>
      </c>
      <c r="AD9" s="168" t="s">
        <v>90</v>
      </c>
      <c r="AE9" s="168" t="s">
        <v>2</v>
      </c>
      <c r="AF9" s="172">
        <v>45315.617800925902</v>
      </c>
    </row>
    <row r="10" spans="1:32">
      <c r="A10" s="168" t="s">
        <v>11</v>
      </c>
      <c r="B10" s="168">
        <v>4000</v>
      </c>
      <c r="C10" s="168">
        <v>0.5</v>
      </c>
      <c r="D10" s="168">
        <v>20</v>
      </c>
      <c r="E10" s="168">
        <v>2700</v>
      </c>
      <c r="F10" s="168">
        <v>2600</v>
      </c>
      <c r="G10" s="168">
        <v>2400</v>
      </c>
      <c r="H10" s="168" t="s">
        <v>19</v>
      </c>
      <c r="I10" s="168" t="s">
        <v>20</v>
      </c>
      <c r="J10" s="168" t="s">
        <v>94</v>
      </c>
      <c r="K10" s="168">
        <v>2700</v>
      </c>
      <c r="L10" s="168">
        <v>2300</v>
      </c>
      <c r="M10" s="168" t="s">
        <v>20</v>
      </c>
      <c r="N10" s="168" t="s">
        <v>32</v>
      </c>
      <c r="O10" s="168" t="s">
        <v>32</v>
      </c>
      <c r="P10" s="168" t="s">
        <v>43</v>
      </c>
      <c r="Q10" s="168" t="s">
        <v>44</v>
      </c>
      <c r="R10" s="168" t="s">
        <v>45</v>
      </c>
      <c r="T10" s="168">
        <v>4000</v>
      </c>
      <c r="U10" s="168" t="s">
        <v>92</v>
      </c>
      <c r="V10" s="168" t="s">
        <v>56</v>
      </c>
      <c r="W10" s="168" t="s">
        <v>56</v>
      </c>
      <c r="X10" s="168" t="s">
        <v>56</v>
      </c>
      <c r="Y10" s="168" t="s">
        <v>56</v>
      </c>
      <c r="Z10" s="168">
        <v>4310</v>
      </c>
      <c r="AA10" s="168">
        <v>3040</v>
      </c>
      <c r="AB10" s="168">
        <v>5200</v>
      </c>
      <c r="AC10" s="168">
        <v>1550</v>
      </c>
      <c r="AD10" s="168" t="s">
        <v>90</v>
      </c>
      <c r="AE10" s="168" t="s">
        <v>2</v>
      </c>
      <c r="AF10" s="172">
        <v>45316.618437500001</v>
      </c>
    </row>
    <row r="11" spans="1:32">
      <c r="A11" s="168" t="s">
        <v>11</v>
      </c>
      <c r="B11" s="168">
        <v>3000</v>
      </c>
      <c r="C11" s="168">
        <v>0.5</v>
      </c>
      <c r="D11" s="168">
        <v>20</v>
      </c>
      <c r="E11" s="168">
        <v>2200</v>
      </c>
      <c r="F11" s="168">
        <v>2500</v>
      </c>
      <c r="G11" s="168">
        <v>2500</v>
      </c>
      <c r="H11" s="168" t="s">
        <v>19</v>
      </c>
      <c r="I11" s="168" t="s">
        <v>20</v>
      </c>
      <c r="J11" s="168" t="s">
        <v>31</v>
      </c>
      <c r="K11" s="168">
        <v>1700</v>
      </c>
      <c r="L11" s="168">
        <v>2400</v>
      </c>
      <c r="M11" s="168" t="s">
        <v>20</v>
      </c>
      <c r="N11" s="168" t="s">
        <v>32</v>
      </c>
      <c r="O11" s="168" t="s">
        <v>32</v>
      </c>
      <c r="P11" s="168" t="s">
        <v>43</v>
      </c>
      <c r="Q11" s="168" t="s">
        <v>44</v>
      </c>
      <c r="R11" s="168" t="s">
        <v>89</v>
      </c>
      <c r="T11" s="168">
        <v>3000</v>
      </c>
      <c r="U11" s="168" t="s">
        <v>92</v>
      </c>
      <c r="V11" s="168" t="s">
        <v>56</v>
      </c>
      <c r="W11" s="168" t="s">
        <v>56</v>
      </c>
      <c r="X11" s="168" t="s">
        <v>56</v>
      </c>
      <c r="Y11" s="168" t="s">
        <v>56</v>
      </c>
      <c r="Z11" s="168">
        <v>3430</v>
      </c>
      <c r="AA11" s="168">
        <v>2950</v>
      </c>
      <c r="AB11" s="168">
        <v>4950</v>
      </c>
      <c r="AC11" s="168">
        <v>1400</v>
      </c>
      <c r="AD11" s="168" t="s">
        <v>90</v>
      </c>
      <c r="AE11" s="168" t="s">
        <v>2</v>
      </c>
      <c r="AF11" s="172">
        <v>45370.690046296302</v>
      </c>
    </row>
    <row r="12" spans="1:32">
      <c r="A12" s="168" t="s">
        <v>91</v>
      </c>
      <c r="B12" s="168">
        <v>3000</v>
      </c>
      <c r="C12" s="168">
        <v>1</v>
      </c>
      <c r="D12" s="168">
        <v>20</v>
      </c>
      <c r="E12" s="168">
        <v>2000</v>
      </c>
      <c r="F12" s="168">
        <v>2800</v>
      </c>
      <c r="G12" s="168">
        <v>2300</v>
      </c>
      <c r="H12" s="168" t="s">
        <v>19</v>
      </c>
      <c r="I12" s="168" t="s">
        <v>20</v>
      </c>
      <c r="J12" s="168" t="s">
        <v>36</v>
      </c>
      <c r="K12" s="168">
        <v>1800</v>
      </c>
      <c r="L12" s="168">
        <v>2100</v>
      </c>
      <c r="M12" s="168" t="s">
        <v>20</v>
      </c>
      <c r="N12" s="168" t="s">
        <v>32</v>
      </c>
      <c r="O12" s="168" t="s">
        <v>32</v>
      </c>
      <c r="P12" s="168" t="s">
        <v>43</v>
      </c>
      <c r="Q12" s="168" t="s">
        <v>44</v>
      </c>
      <c r="R12" s="168" t="s">
        <v>89</v>
      </c>
      <c r="T12" s="168">
        <v>3000</v>
      </c>
      <c r="U12" s="168" t="s">
        <v>92</v>
      </c>
      <c r="V12" s="168" t="s">
        <v>56</v>
      </c>
      <c r="W12" s="168" t="s">
        <v>56</v>
      </c>
      <c r="X12" s="168" t="s">
        <v>56</v>
      </c>
      <c r="Y12" s="168" t="s">
        <v>56</v>
      </c>
      <c r="Z12" s="168">
        <v>3020</v>
      </c>
      <c r="AA12" s="168">
        <v>3250</v>
      </c>
      <c r="AB12" s="168">
        <v>4050</v>
      </c>
      <c r="AC12" s="168">
        <v>1400</v>
      </c>
      <c r="AD12" s="168" t="s">
        <v>90</v>
      </c>
      <c r="AE12" s="168" t="s">
        <v>2</v>
      </c>
      <c r="AF12" s="172">
        <v>45384.7516666667</v>
      </c>
    </row>
    <row r="13" spans="1:32">
      <c r="A13" s="168" t="s">
        <v>11</v>
      </c>
      <c r="B13" s="168">
        <v>3000</v>
      </c>
      <c r="C13" s="168">
        <v>0.5</v>
      </c>
      <c r="D13" s="168">
        <v>20</v>
      </c>
      <c r="E13" s="168">
        <v>2500</v>
      </c>
      <c r="F13" s="168">
        <v>2200</v>
      </c>
      <c r="G13" s="168">
        <v>2400</v>
      </c>
      <c r="H13" s="168" t="s">
        <v>19</v>
      </c>
      <c r="I13" s="168" t="s">
        <v>20</v>
      </c>
      <c r="J13" s="168" t="s">
        <v>36</v>
      </c>
      <c r="K13" s="168">
        <v>2500</v>
      </c>
      <c r="L13" s="168">
        <v>2300</v>
      </c>
      <c r="M13" s="168" t="s">
        <v>95</v>
      </c>
      <c r="N13" s="168" t="s">
        <v>32</v>
      </c>
      <c r="O13" s="168" t="s">
        <v>32</v>
      </c>
      <c r="P13" s="168" t="s">
        <v>43</v>
      </c>
      <c r="Q13" s="168" t="s">
        <v>44</v>
      </c>
      <c r="R13" s="168" t="s">
        <v>89</v>
      </c>
      <c r="T13" s="168">
        <v>3000</v>
      </c>
      <c r="U13" s="168" t="s">
        <v>92</v>
      </c>
      <c r="V13" s="168" t="s">
        <v>56</v>
      </c>
      <c r="W13" s="168" t="s">
        <v>56</v>
      </c>
      <c r="X13" s="168" t="s">
        <v>56</v>
      </c>
      <c r="Y13" s="168" t="s">
        <v>56</v>
      </c>
      <c r="Z13" s="168">
        <v>4150</v>
      </c>
      <c r="AA13" s="168">
        <v>2730</v>
      </c>
      <c r="AB13" s="168">
        <v>4850</v>
      </c>
      <c r="AC13" s="168">
        <v>1400</v>
      </c>
      <c r="AD13" s="168" t="s">
        <v>90</v>
      </c>
      <c r="AE13" s="168" t="s">
        <v>2</v>
      </c>
      <c r="AF13" s="172">
        <v>45420.688645833303</v>
      </c>
    </row>
    <row r="14" spans="1:32">
      <c r="A14" s="168" t="s">
        <v>11</v>
      </c>
      <c r="B14" s="168">
        <v>3000</v>
      </c>
      <c r="C14" s="168">
        <v>0.5</v>
      </c>
      <c r="D14" s="168">
        <v>20</v>
      </c>
      <c r="E14" s="168">
        <v>2200</v>
      </c>
      <c r="F14" s="168">
        <v>2500</v>
      </c>
      <c r="G14" s="168">
        <v>2200</v>
      </c>
      <c r="H14" s="168" t="s">
        <v>19</v>
      </c>
      <c r="I14" s="168" t="s">
        <v>20</v>
      </c>
      <c r="J14" s="168" t="s">
        <v>31</v>
      </c>
      <c r="K14" s="168">
        <v>1700</v>
      </c>
      <c r="L14" s="168">
        <v>2100</v>
      </c>
      <c r="M14" s="168" t="s">
        <v>20</v>
      </c>
      <c r="N14" s="168" t="s">
        <v>32</v>
      </c>
      <c r="O14" s="168" t="s">
        <v>32</v>
      </c>
      <c r="P14" s="168" t="s">
        <v>43</v>
      </c>
      <c r="Q14" s="168" t="s">
        <v>44</v>
      </c>
      <c r="R14" s="168" t="s">
        <v>89</v>
      </c>
      <c r="T14" s="168">
        <v>3000</v>
      </c>
      <c r="U14" s="168" t="s">
        <v>92</v>
      </c>
      <c r="V14" s="168" t="s">
        <v>56</v>
      </c>
      <c r="W14" s="168" t="s">
        <v>56</v>
      </c>
      <c r="X14" s="168" t="s">
        <v>56</v>
      </c>
      <c r="Y14" s="168" t="s">
        <v>56</v>
      </c>
      <c r="Z14" s="168">
        <v>3430</v>
      </c>
      <c r="AA14" s="168">
        <v>2950</v>
      </c>
      <c r="AB14" s="168">
        <v>4650</v>
      </c>
      <c r="AC14" s="168">
        <v>1400</v>
      </c>
      <c r="AD14" s="168" t="s">
        <v>90</v>
      </c>
      <c r="AE14" s="168" t="s">
        <v>2</v>
      </c>
      <c r="AF14" s="172">
        <v>45429.674768518496</v>
      </c>
    </row>
    <row r="15" spans="1:32">
      <c r="A15" s="168" t="s">
        <v>91</v>
      </c>
      <c r="B15" s="168">
        <v>3000</v>
      </c>
      <c r="C15" s="168">
        <v>0.5</v>
      </c>
      <c r="D15" s="168">
        <v>20</v>
      </c>
      <c r="E15" s="168">
        <v>2200</v>
      </c>
      <c r="F15" s="168">
        <v>2600</v>
      </c>
      <c r="G15" s="168">
        <v>2200</v>
      </c>
      <c r="H15" s="168" t="s">
        <v>19</v>
      </c>
      <c r="I15" s="168" t="s">
        <v>20</v>
      </c>
      <c r="J15" s="168" t="s">
        <v>36</v>
      </c>
      <c r="K15" s="168">
        <v>1700</v>
      </c>
      <c r="L15" s="168">
        <v>2100</v>
      </c>
      <c r="M15" s="168" t="s">
        <v>20</v>
      </c>
      <c r="N15" s="168" t="s">
        <v>32</v>
      </c>
      <c r="O15" s="168" t="s">
        <v>32</v>
      </c>
      <c r="P15" s="168" t="s">
        <v>43</v>
      </c>
      <c r="Q15" s="168" t="s">
        <v>44</v>
      </c>
      <c r="R15" s="168" t="s">
        <v>45</v>
      </c>
      <c r="T15" s="168">
        <v>3000</v>
      </c>
      <c r="U15" s="168" t="s">
        <v>92</v>
      </c>
      <c r="V15" s="168" t="s">
        <v>56</v>
      </c>
      <c r="W15" s="168" t="s">
        <v>56</v>
      </c>
      <c r="X15" s="168" t="s">
        <v>56</v>
      </c>
      <c r="Y15" s="168" t="s">
        <v>56</v>
      </c>
      <c r="Z15" s="168">
        <v>3160</v>
      </c>
      <c r="AA15" s="168">
        <v>3050</v>
      </c>
      <c r="AB15" s="168">
        <v>3950</v>
      </c>
      <c r="AC15" s="168">
        <v>1400</v>
      </c>
      <c r="AD15" s="168" t="s">
        <v>90</v>
      </c>
      <c r="AE15" s="168" t="s">
        <v>2</v>
      </c>
      <c r="AF15" s="172">
        <v>45449.752407407403</v>
      </c>
    </row>
    <row r="16" spans="1:32">
      <c r="A16" s="168" t="s">
        <v>91</v>
      </c>
      <c r="B16" s="168">
        <v>5000</v>
      </c>
      <c r="C16" s="168">
        <v>0.5</v>
      </c>
      <c r="D16" s="168">
        <v>20</v>
      </c>
      <c r="E16" s="168">
        <v>2500</v>
      </c>
      <c r="F16" s="168">
        <v>3600</v>
      </c>
      <c r="G16" s="168">
        <v>2400</v>
      </c>
      <c r="H16" s="168" t="s">
        <v>19</v>
      </c>
      <c r="I16" s="168" t="s">
        <v>20</v>
      </c>
      <c r="J16" s="168" t="s">
        <v>36</v>
      </c>
      <c r="K16" s="168">
        <v>1700</v>
      </c>
      <c r="L16" s="168">
        <v>2100</v>
      </c>
      <c r="M16" s="168" t="s">
        <v>20</v>
      </c>
      <c r="N16" s="168" t="s">
        <v>32</v>
      </c>
      <c r="O16" s="168" t="s">
        <v>32</v>
      </c>
      <c r="P16" s="168" t="s">
        <v>43</v>
      </c>
      <c r="Q16" s="168" t="s">
        <v>44</v>
      </c>
      <c r="R16" s="168" t="s">
        <v>45</v>
      </c>
      <c r="T16" s="168">
        <v>5000</v>
      </c>
      <c r="U16" s="168" t="s">
        <v>92</v>
      </c>
      <c r="V16" s="168" t="s">
        <v>56</v>
      </c>
      <c r="W16" s="168" t="s">
        <v>56</v>
      </c>
      <c r="X16" s="168" t="s">
        <v>56</v>
      </c>
      <c r="Y16" s="168" t="s">
        <v>56</v>
      </c>
      <c r="Z16" s="168">
        <v>3640</v>
      </c>
      <c r="AA16" s="168">
        <v>4050</v>
      </c>
      <c r="AB16" s="168">
        <v>4150</v>
      </c>
      <c r="AC16" s="168">
        <v>1500</v>
      </c>
      <c r="AD16" s="168" t="s">
        <v>90</v>
      </c>
      <c r="AE16" s="168" t="s">
        <v>2</v>
      </c>
      <c r="AF16" s="172">
        <v>45449.752824074101</v>
      </c>
    </row>
    <row r="17" spans="1:32">
      <c r="A17" s="168" t="s">
        <v>91</v>
      </c>
      <c r="B17" s="168">
        <v>5000</v>
      </c>
      <c r="C17" s="168">
        <v>0.5</v>
      </c>
      <c r="D17" s="168">
        <v>20</v>
      </c>
      <c r="E17" s="168">
        <v>2700</v>
      </c>
      <c r="F17" s="168">
        <v>3200</v>
      </c>
      <c r="G17" s="168">
        <v>2200</v>
      </c>
      <c r="H17" s="168" t="s">
        <v>19</v>
      </c>
      <c r="I17" s="168" t="s">
        <v>20</v>
      </c>
      <c r="J17" s="168" t="s">
        <v>36</v>
      </c>
      <c r="K17" s="168">
        <v>2400</v>
      </c>
      <c r="L17" s="168">
        <v>2100</v>
      </c>
      <c r="M17" s="168" t="s">
        <v>20</v>
      </c>
      <c r="N17" s="168" t="s">
        <v>32</v>
      </c>
      <c r="O17" s="168" t="s">
        <v>32</v>
      </c>
      <c r="P17" s="168" t="s">
        <v>43</v>
      </c>
      <c r="Q17" s="168" t="s">
        <v>44</v>
      </c>
      <c r="R17" s="168" t="s">
        <v>45</v>
      </c>
      <c r="T17" s="168">
        <v>5000</v>
      </c>
      <c r="U17" s="168" t="s">
        <v>92</v>
      </c>
      <c r="V17" s="168" t="s">
        <v>56</v>
      </c>
      <c r="W17" s="168" t="s">
        <v>56</v>
      </c>
      <c r="X17" s="168" t="s">
        <v>56</v>
      </c>
      <c r="Y17" s="168" t="s">
        <v>56</v>
      </c>
      <c r="Z17" s="168">
        <v>3880</v>
      </c>
      <c r="AA17" s="168">
        <v>3650</v>
      </c>
      <c r="AB17" s="168">
        <v>3950</v>
      </c>
      <c r="AC17" s="168">
        <v>1500</v>
      </c>
      <c r="AD17" s="168" t="s">
        <v>90</v>
      </c>
      <c r="AE17" s="168" t="s">
        <v>2</v>
      </c>
      <c r="AF17" s="172">
        <v>45450.476400462998</v>
      </c>
    </row>
    <row r="18" spans="1:32">
      <c r="A18" s="168" t="s">
        <v>91</v>
      </c>
      <c r="B18" s="168">
        <v>3000</v>
      </c>
      <c r="C18" s="168">
        <v>1</v>
      </c>
      <c r="D18" s="168">
        <v>20</v>
      </c>
      <c r="E18" s="168">
        <v>2100</v>
      </c>
      <c r="F18" s="168">
        <v>2600</v>
      </c>
      <c r="G18" s="168">
        <v>2300</v>
      </c>
      <c r="H18" s="168" t="s">
        <v>19</v>
      </c>
      <c r="I18" s="168" t="s">
        <v>20</v>
      </c>
      <c r="J18" s="168" t="s">
        <v>31</v>
      </c>
      <c r="K18" s="168">
        <v>1700</v>
      </c>
      <c r="L18" s="168">
        <v>2100</v>
      </c>
      <c r="M18" s="168" t="s">
        <v>20</v>
      </c>
      <c r="N18" s="168" t="s">
        <v>32</v>
      </c>
      <c r="O18" s="168" t="s">
        <v>32</v>
      </c>
      <c r="P18" s="168" t="s">
        <v>43</v>
      </c>
      <c r="Q18" s="168" t="s">
        <v>44</v>
      </c>
      <c r="R18" s="168" t="s">
        <v>89</v>
      </c>
      <c r="T18" s="168">
        <v>3000</v>
      </c>
      <c r="U18" s="168" t="s">
        <v>92</v>
      </c>
      <c r="V18" s="168" t="s">
        <v>56</v>
      </c>
      <c r="W18" s="168" t="s">
        <v>56</v>
      </c>
      <c r="X18" s="168" t="s">
        <v>56</v>
      </c>
      <c r="Y18" s="168" t="s">
        <v>56</v>
      </c>
      <c r="Z18" s="168">
        <v>3060</v>
      </c>
      <c r="AA18" s="168">
        <v>3050</v>
      </c>
      <c r="AB18" s="168">
        <v>4050</v>
      </c>
      <c r="AC18" s="168">
        <v>1400</v>
      </c>
      <c r="AD18" s="168" t="s">
        <v>90</v>
      </c>
      <c r="AE18" s="168" t="s">
        <v>2</v>
      </c>
      <c r="AF18" s="172">
        <v>45450.639351851903</v>
      </c>
    </row>
    <row r="19" spans="1:32">
      <c r="A19" s="168" t="s">
        <v>91</v>
      </c>
      <c r="B19" s="168">
        <v>5000</v>
      </c>
      <c r="C19" s="168">
        <v>0.5</v>
      </c>
      <c r="D19" s="168">
        <v>20</v>
      </c>
      <c r="E19" s="168">
        <v>2200</v>
      </c>
      <c r="F19" s="168">
        <v>3900</v>
      </c>
      <c r="G19" s="168">
        <v>2200</v>
      </c>
      <c r="H19" s="168" t="s">
        <v>19</v>
      </c>
      <c r="I19" s="168" t="s">
        <v>20</v>
      </c>
      <c r="J19" s="168" t="s">
        <v>36</v>
      </c>
      <c r="K19" s="168">
        <v>2200</v>
      </c>
      <c r="L19" s="168">
        <v>2100</v>
      </c>
      <c r="M19" s="168" t="s">
        <v>95</v>
      </c>
      <c r="N19" s="168" t="s">
        <v>32</v>
      </c>
      <c r="O19" s="168" t="s">
        <v>32</v>
      </c>
      <c r="P19" s="168" t="s">
        <v>43</v>
      </c>
      <c r="Q19" s="168" t="s">
        <v>44</v>
      </c>
      <c r="R19" s="168" t="s">
        <v>89</v>
      </c>
      <c r="T19" s="168">
        <v>5000</v>
      </c>
      <c r="U19" s="168" t="s">
        <v>92</v>
      </c>
      <c r="V19" s="168" t="s">
        <v>56</v>
      </c>
      <c r="W19" s="168" t="s">
        <v>56</v>
      </c>
      <c r="X19" s="168" t="s">
        <v>56</v>
      </c>
      <c r="Y19" s="168" t="s">
        <v>56</v>
      </c>
      <c r="Z19" s="168">
        <v>3630</v>
      </c>
      <c r="AA19" s="168">
        <v>4430</v>
      </c>
      <c r="AB19" s="168">
        <v>3950</v>
      </c>
      <c r="AC19" s="168">
        <v>1500</v>
      </c>
      <c r="AD19" s="168" t="s">
        <v>90</v>
      </c>
      <c r="AE19" s="168" t="s">
        <v>2</v>
      </c>
      <c r="AF19" s="172">
        <v>45450.640451388899</v>
      </c>
    </row>
    <row r="20" spans="1:32">
      <c r="A20" s="168" t="s">
        <v>91</v>
      </c>
      <c r="B20" s="168">
        <v>5000</v>
      </c>
      <c r="C20" s="168">
        <v>0.5</v>
      </c>
      <c r="D20" s="168">
        <v>20</v>
      </c>
      <c r="E20" s="168">
        <v>2500</v>
      </c>
      <c r="F20" s="168">
        <v>3300</v>
      </c>
      <c r="G20" s="168">
        <v>2500</v>
      </c>
      <c r="H20" s="168" t="s">
        <v>19</v>
      </c>
      <c r="I20" s="168" t="s">
        <v>20</v>
      </c>
      <c r="J20" s="168" t="s">
        <v>36</v>
      </c>
      <c r="K20" s="168">
        <v>2000</v>
      </c>
      <c r="L20" s="168">
        <v>2400</v>
      </c>
      <c r="M20" s="168" t="s">
        <v>95</v>
      </c>
      <c r="N20" s="168" t="s">
        <v>32</v>
      </c>
      <c r="O20" s="168" t="s">
        <v>32</v>
      </c>
      <c r="P20" s="168" t="s">
        <v>43</v>
      </c>
      <c r="Q20" s="168" t="s">
        <v>44</v>
      </c>
      <c r="R20" s="168" t="s">
        <v>89</v>
      </c>
      <c r="T20" s="168">
        <v>5000</v>
      </c>
      <c r="U20" s="168" t="s">
        <v>92</v>
      </c>
      <c r="V20" s="168" t="s">
        <v>56</v>
      </c>
      <c r="W20" s="168" t="s">
        <v>56</v>
      </c>
      <c r="X20" s="168" t="s">
        <v>56</v>
      </c>
      <c r="Y20" s="168" t="s">
        <v>56</v>
      </c>
      <c r="Z20" s="168">
        <v>3640</v>
      </c>
      <c r="AA20" s="168">
        <v>3990</v>
      </c>
      <c r="AB20" s="168">
        <v>4250</v>
      </c>
      <c r="AC20" s="168">
        <v>1500</v>
      </c>
      <c r="AD20" s="168" t="s">
        <v>90</v>
      </c>
      <c r="AE20" s="168" t="s">
        <v>2</v>
      </c>
      <c r="AF20" s="172">
        <v>45457.607766203699</v>
      </c>
    </row>
    <row r="21" spans="1:32">
      <c r="A21" s="168" t="s">
        <v>11</v>
      </c>
      <c r="B21" s="168">
        <v>5000</v>
      </c>
      <c r="C21" s="168">
        <v>1</v>
      </c>
      <c r="D21" s="168">
        <v>20</v>
      </c>
      <c r="E21" s="168">
        <v>2000</v>
      </c>
      <c r="F21" s="168">
        <v>3850</v>
      </c>
      <c r="G21" s="168">
        <v>2200</v>
      </c>
      <c r="H21" s="168" t="s">
        <v>19</v>
      </c>
      <c r="I21" s="168" t="s">
        <v>20</v>
      </c>
      <c r="J21" s="168" t="s">
        <v>36</v>
      </c>
      <c r="K21" s="168">
        <v>1700</v>
      </c>
      <c r="L21" s="168">
        <v>2100</v>
      </c>
      <c r="M21" s="168" t="s">
        <v>20</v>
      </c>
      <c r="N21" s="168" t="s">
        <v>32</v>
      </c>
      <c r="O21" s="168" t="s">
        <v>32</v>
      </c>
      <c r="P21" s="168" t="s">
        <v>43</v>
      </c>
      <c r="Q21" s="168" t="s">
        <v>44</v>
      </c>
      <c r="R21" s="168" t="s">
        <v>89</v>
      </c>
      <c r="T21" s="168">
        <v>5000</v>
      </c>
      <c r="U21" s="168" t="s">
        <v>92</v>
      </c>
      <c r="V21" s="168" t="s">
        <v>56</v>
      </c>
      <c r="W21" s="168" t="s">
        <v>56</v>
      </c>
      <c r="X21" s="168" t="s">
        <v>56</v>
      </c>
      <c r="Y21" s="168" t="s">
        <v>56</v>
      </c>
      <c r="Z21" s="168">
        <v>3480</v>
      </c>
      <c r="AA21" s="168">
        <v>4300</v>
      </c>
      <c r="AB21" s="168">
        <v>5000</v>
      </c>
      <c r="AC21" s="168">
        <v>1550</v>
      </c>
      <c r="AD21" s="168" t="s">
        <v>90</v>
      </c>
      <c r="AE21" s="168" t="s">
        <v>2</v>
      </c>
      <c r="AF21" s="172">
        <v>45461.604502314804</v>
      </c>
    </row>
    <row r="22" spans="1:32">
      <c r="A22" s="168" t="s">
        <v>91</v>
      </c>
      <c r="B22" s="168">
        <v>3000</v>
      </c>
      <c r="C22" s="168">
        <v>0.5</v>
      </c>
      <c r="D22" s="168">
        <v>20</v>
      </c>
      <c r="E22" s="168">
        <v>2000</v>
      </c>
      <c r="F22" s="168">
        <v>2700</v>
      </c>
      <c r="G22" s="168">
        <v>2200</v>
      </c>
      <c r="H22" s="168" t="s">
        <v>19</v>
      </c>
      <c r="I22" s="168" t="s">
        <v>20</v>
      </c>
      <c r="J22" s="168" t="s">
        <v>31</v>
      </c>
      <c r="K22" s="168">
        <v>1700</v>
      </c>
      <c r="L22" s="168">
        <v>2100</v>
      </c>
      <c r="M22" s="168" t="s">
        <v>95</v>
      </c>
      <c r="N22" s="168" t="s">
        <v>32</v>
      </c>
      <c r="O22" s="168" t="s">
        <v>32</v>
      </c>
      <c r="P22" s="168" t="s">
        <v>43</v>
      </c>
      <c r="Q22" s="168" t="s">
        <v>44</v>
      </c>
      <c r="R22" s="168" t="s">
        <v>89</v>
      </c>
      <c r="T22" s="168">
        <v>3000</v>
      </c>
      <c r="U22" s="168" t="s">
        <v>92</v>
      </c>
      <c r="V22" s="168" t="s">
        <v>56</v>
      </c>
      <c r="W22" s="168" t="s">
        <v>56</v>
      </c>
      <c r="X22" s="168" t="s">
        <v>56</v>
      </c>
      <c r="Y22" s="168" t="s">
        <v>56</v>
      </c>
      <c r="Z22" s="168">
        <v>2980</v>
      </c>
      <c r="AA22" s="168">
        <v>3390</v>
      </c>
      <c r="AB22" s="168">
        <v>3950</v>
      </c>
      <c r="AC22" s="168">
        <v>1400</v>
      </c>
      <c r="AD22" s="168" t="s">
        <v>90</v>
      </c>
      <c r="AE22" s="168" t="s">
        <v>2</v>
      </c>
      <c r="AF22" s="172">
        <v>45471.380127314798</v>
      </c>
    </row>
    <row r="23" spans="1:32">
      <c r="A23" s="168" t="s">
        <v>11</v>
      </c>
      <c r="B23" s="168">
        <v>2000</v>
      </c>
      <c r="C23" s="168">
        <v>1</v>
      </c>
      <c r="D23" s="168">
        <v>20</v>
      </c>
      <c r="E23" s="168">
        <v>2000</v>
      </c>
      <c r="F23" s="168">
        <v>2000</v>
      </c>
      <c r="G23" s="168">
        <v>2300</v>
      </c>
      <c r="H23" s="168" t="s">
        <v>19</v>
      </c>
      <c r="I23" s="168" t="s">
        <v>20</v>
      </c>
      <c r="J23" s="168" t="s">
        <v>31</v>
      </c>
      <c r="K23" s="168">
        <v>1700</v>
      </c>
      <c r="L23" s="168">
        <v>2100</v>
      </c>
      <c r="M23" s="168" t="s">
        <v>20</v>
      </c>
      <c r="N23" s="168" t="s">
        <v>95</v>
      </c>
      <c r="O23" s="168" t="s">
        <v>32</v>
      </c>
      <c r="P23" s="168" t="s">
        <v>43</v>
      </c>
      <c r="Q23" s="168" t="s">
        <v>44</v>
      </c>
      <c r="R23" s="168" t="s">
        <v>89</v>
      </c>
      <c r="T23" s="168">
        <v>2000</v>
      </c>
      <c r="U23" s="168" t="s">
        <v>92</v>
      </c>
      <c r="V23" s="168">
        <v>3200</v>
      </c>
      <c r="W23" s="168">
        <v>3100</v>
      </c>
      <c r="X23" s="168">
        <v>4500</v>
      </c>
      <c r="Y23" s="168">
        <v>1500</v>
      </c>
      <c r="Z23" s="168">
        <v>3080</v>
      </c>
      <c r="AA23" s="168">
        <v>2450</v>
      </c>
      <c r="AB23" s="168">
        <v>4400</v>
      </c>
      <c r="AC23" s="168">
        <v>1350</v>
      </c>
      <c r="AD23" s="168" t="s">
        <v>90</v>
      </c>
      <c r="AE23" s="168" t="s">
        <v>2</v>
      </c>
      <c r="AF23" s="172">
        <v>45519.465324074103</v>
      </c>
    </row>
  </sheetData>
  <autoFilter ref="A4:AF23" xr:uid="{00000000-0009-0000-0000-000001000000}"/>
  <mergeCells count="1">
    <mergeCell ref="E2:J2"/>
  </mergeCells>
  <phoneticPr fontId="145" type="noConversion"/>
  <pageMargins left="0.7" right="0.7" top="0.75" bottom="0.75" header="0.3" footer="0.3"/>
  <pageSetup paperSize="9" scale="26"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Pict="0" macro="[0]!Sheet4.Select_transfer">
                <anchor moveWithCells="1" sizeWithCells="1">
                  <from>
                    <xdr:col>1</xdr:col>
                    <xdr:colOff>19050</xdr:colOff>
                    <xdr:row>1</xdr:row>
                    <xdr:rowOff>38100</xdr:rowOff>
                  </from>
                  <to>
                    <xdr:col>3</xdr:col>
                    <xdr:colOff>647700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1" tint="4.9989318521683403E-2"/>
  </sheetPr>
  <dimension ref="A1:U177"/>
  <sheetViews>
    <sheetView showGridLines="0" view="pageBreakPreview" topLeftCell="A7" zoomScale="85" zoomScaleNormal="100" workbookViewId="0">
      <selection activeCell="O20" sqref="O20"/>
    </sheetView>
  </sheetViews>
  <sheetFormatPr defaultColWidth="9" defaultRowHeight="17.25"/>
  <cols>
    <col min="1" max="1" width="43.625" style="102" customWidth="1"/>
    <col min="2" max="7" width="11.625" style="102" customWidth="1"/>
    <col min="8" max="8" width="3.125" style="102" customWidth="1"/>
    <col min="9" max="9" width="3.625" style="103" customWidth="1"/>
    <col min="10" max="10" width="11.5" style="103" customWidth="1"/>
    <col min="11" max="15" width="9" style="102"/>
    <col min="16" max="16" width="10.75" style="102" customWidth="1"/>
    <col min="17" max="46" width="9" style="102"/>
    <col min="47" max="47" width="11" style="102" customWidth="1"/>
    <col min="48" max="55" width="9" style="102"/>
    <col min="56" max="56" width="10.875" style="102" customWidth="1"/>
    <col min="57" max="57" width="10.375" style="102" customWidth="1"/>
    <col min="58" max="16384" width="9" style="102"/>
  </cols>
  <sheetData>
    <row r="1" spans="1:20" ht="35.1" customHeight="1">
      <c r="A1" s="283" t="s">
        <v>96</v>
      </c>
      <c r="B1" s="284"/>
      <c r="C1" s="284"/>
      <c r="D1" s="284"/>
      <c r="E1" s="284"/>
      <c r="F1" s="18"/>
      <c r="G1" s="18"/>
      <c r="H1" s="105"/>
    </row>
    <row r="2" spans="1:20" ht="45" customHeight="1">
      <c r="A2" s="285" t="s">
        <v>97</v>
      </c>
      <c r="B2" s="286"/>
      <c r="C2" s="286"/>
      <c r="D2" s="286"/>
      <c r="E2" s="286"/>
      <c r="F2" s="286"/>
      <c r="G2" s="286"/>
      <c r="H2" s="286"/>
    </row>
    <row r="3" spans="1:20" ht="19.149999999999999" customHeight="1">
      <c r="A3" s="287"/>
      <c r="B3" s="287"/>
      <c r="C3" s="287"/>
      <c r="D3" s="287"/>
      <c r="E3" s="287"/>
      <c r="F3" s="287"/>
      <c r="G3" s="287"/>
      <c r="H3" s="287"/>
    </row>
    <row r="4" spans="1:20" ht="19.149999999999999" customHeight="1">
      <c r="A4" s="287"/>
      <c r="B4" s="287"/>
      <c r="C4" s="287"/>
      <c r="D4" s="287"/>
      <c r="E4" s="287"/>
      <c r="F4" s="287"/>
      <c r="G4" s="287"/>
      <c r="H4" s="287"/>
    </row>
    <row r="5" spans="1:20" ht="30.2" customHeight="1">
      <c r="A5" s="106" t="s">
        <v>98</v>
      </c>
      <c r="B5" s="107"/>
      <c r="C5" s="107"/>
      <c r="D5" s="107"/>
      <c r="E5" s="107"/>
      <c r="F5" s="107"/>
      <c r="G5" s="107"/>
      <c r="H5" s="108"/>
      <c r="J5" s="102"/>
      <c r="K5" s="107"/>
      <c r="L5" s="107"/>
      <c r="M5" s="107"/>
      <c r="N5" s="107"/>
      <c r="O5" s="107"/>
      <c r="P5" s="107"/>
    </row>
    <row r="6" spans="1:20" ht="19.149999999999999" customHeight="1">
      <c r="A6" s="102" t="s">
        <v>99</v>
      </c>
      <c r="B6" s="107"/>
      <c r="C6" s="107"/>
      <c r="D6" s="107"/>
      <c r="E6" s="107"/>
      <c r="F6" s="107"/>
      <c r="G6" s="107"/>
      <c r="H6" s="108"/>
      <c r="J6" s="111"/>
      <c r="K6" s="107"/>
      <c r="L6" s="107"/>
      <c r="M6" s="107"/>
      <c r="N6" s="107"/>
      <c r="O6" s="107"/>
      <c r="P6" s="107"/>
    </row>
    <row r="7" spans="1:20" ht="150" customHeight="1">
      <c r="A7" s="291" t="s">
        <v>100</v>
      </c>
      <c r="B7" s="291"/>
      <c r="C7" s="291"/>
      <c r="D7" s="107"/>
      <c r="E7" s="107"/>
      <c r="F7" s="107"/>
      <c r="G7" s="107"/>
      <c r="H7" s="108"/>
      <c r="J7" s="111"/>
      <c r="K7" s="107"/>
      <c r="L7" s="107"/>
      <c r="M7" s="107"/>
      <c r="N7" s="107"/>
      <c r="O7" s="107"/>
      <c r="P7" s="107"/>
    </row>
    <row r="8" spans="1:20" ht="19.149999999999999" customHeight="1">
      <c r="A8" s="291"/>
      <c r="B8" s="291"/>
      <c r="C8" s="291"/>
      <c r="D8" s="107"/>
      <c r="E8" s="107"/>
      <c r="F8" s="107"/>
      <c r="G8" s="107"/>
      <c r="H8" s="108"/>
      <c r="J8" s="111"/>
      <c r="K8" s="107"/>
      <c r="L8" s="107"/>
      <c r="M8" s="107"/>
      <c r="N8" s="107"/>
      <c r="O8" s="107"/>
      <c r="P8" s="107"/>
    </row>
    <row r="9" spans="1:20" ht="19.149999999999999" customHeight="1">
      <c r="A9" s="291"/>
      <c r="B9" s="291"/>
      <c r="C9" s="291"/>
      <c r="D9" s="107"/>
      <c r="E9" s="107"/>
      <c r="F9" s="107"/>
      <c r="G9" s="107"/>
      <c r="H9" s="108"/>
      <c r="J9" s="111"/>
      <c r="K9" s="107"/>
      <c r="L9" s="107"/>
      <c r="M9" s="107"/>
      <c r="N9" s="107"/>
      <c r="O9" s="107"/>
      <c r="P9" s="107"/>
    </row>
    <row r="10" spans="1:20" ht="19.149999999999999" customHeight="1">
      <c r="A10" s="106"/>
      <c r="B10" s="107"/>
      <c r="C10" s="107"/>
      <c r="D10" s="107"/>
      <c r="E10" s="107"/>
      <c r="F10" s="107"/>
      <c r="G10" s="107"/>
      <c r="H10" s="108"/>
      <c r="J10" s="111"/>
      <c r="K10" s="107"/>
      <c r="L10" s="107"/>
      <c r="M10" s="107"/>
      <c r="N10" s="107"/>
      <c r="O10" s="107"/>
      <c r="P10" s="107"/>
    </row>
    <row r="11" spans="1:20" ht="19.149999999999999" customHeight="1">
      <c r="A11" s="102" t="s">
        <v>101</v>
      </c>
      <c r="B11" s="107"/>
      <c r="C11" s="107"/>
      <c r="D11" s="107"/>
      <c r="E11" s="107"/>
      <c r="F11" s="107"/>
      <c r="G11" s="107"/>
      <c r="H11" s="108"/>
      <c r="J11" s="34" t="s">
        <v>102</v>
      </c>
      <c r="K11" s="24"/>
      <c r="L11" s="24"/>
      <c r="M11" s="24"/>
      <c r="N11" s="24"/>
      <c r="O11" s="24"/>
      <c r="P11" s="24"/>
    </row>
    <row r="12" spans="1:20" ht="19.149999999999999" customHeight="1">
      <c r="A12" s="109" t="s">
        <v>103</v>
      </c>
      <c r="B12" s="107" t="str">
        <f>Home!C9</f>
        <v>LTHW</v>
      </c>
      <c r="D12" s="110"/>
      <c r="E12" s="110"/>
      <c r="F12" s="110" t="s">
        <v>104</v>
      </c>
      <c r="G12" s="110">
        <f>MATCH(B12,K12:Q12,0)</f>
        <v>3</v>
      </c>
      <c r="H12" s="108"/>
      <c r="J12" s="129"/>
      <c r="K12" s="129" t="s">
        <v>91</v>
      </c>
      <c r="L12" s="129" t="s">
        <v>105</v>
      </c>
      <c r="M12" s="129" t="s">
        <v>11</v>
      </c>
      <c r="N12" s="129" t="s">
        <v>106</v>
      </c>
      <c r="O12" s="129" t="s">
        <v>87</v>
      </c>
      <c r="P12" s="129" t="s">
        <v>107</v>
      </c>
      <c r="Q12" s="129" t="s">
        <v>108</v>
      </c>
      <c r="R12" s="129" t="s">
        <v>109</v>
      </c>
      <c r="S12" s="129" t="s">
        <v>109</v>
      </c>
      <c r="T12" s="129" t="s">
        <v>109</v>
      </c>
    </row>
    <row r="13" spans="1:20" ht="19.149999999999999" customHeight="1">
      <c r="A13" s="109" t="s">
        <v>110</v>
      </c>
      <c r="B13" s="107">
        <f>Home!G9</f>
        <v>0.5</v>
      </c>
      <c r="C13" s="107"/>
      <c r="D13" s="110" t="s">
        <v>111</v>
      </c>
      <c r="E13" s="110" t="b">
        <f>IF(OR(B12="Evolution",B12="EVIN"),TRUE,FALSE)</f>
        <v>0</v>
      </c>
      <c r="F13" s="107"/>
      <c r="G13" s="107"/>
      <c r="H13" s="108"/>
      <c r="J13" s="129" t="s">
        <v>112</v>
      </c>
      <c r="K13" s="37">
        <f ca="1">OFFSET(标准配置!$N$65,MATCH($B$15,标准配置!N66:N67,0),MATCH($B$22,标准配置!$O$22:$W$22,0),1,1)</f>
        <v>1540</v>
      </c>
      <c r="L13" s="37">
        <f ca="1">OFFSET(标准配置!Y65,1,MATCH($B$22,标准配置!Z65:AF65,0),1,1)</f>
        <v>2022</v>
      </c>
      <c r="M13" s="37">
        <f ca="1">OFFSET(标准配置!$AH$65,MATCH($B$15,标准配置!$AH$23:$AH$24,0),MATCH($B$22,标准配置!$AI$22:$AO$22,0),1,1)</f>
        <v>1682</v>
      </c>
      <c r="N13" s="37">
        <f ca="1">OFFSET(标准配置!AQ65,1,MATCH($B$22,标准配置!AR65:AT65,0),1,1)</f>
        <v>2022</v>
      </c>
      <c r="O13" s="20" t="e">
        <f ca="1">OFFSET(标准配置!$BA$65,MATCH($B$15,标准配置!$BA$66:$BA$67,0),MATCH($B$22,标准配置!$BB$65:$BK$65,0),1,1)</f>
        <v>#N/A</v>
      </c>
      <c r="P13" s="20" t="e">
        <f ca="1">OFFSET(标准配置!$BM$65,MATCH($B$15,标准配置!BM66:BM67,0),MATCH($B$22,标准配置!BN65:BV65,0),1,1)</f>
        <v>#N/A</v>
      </c>
      <c r="Q13" s="20" t="e">
        <f ca="1">OFFSET(标准配置!$BX$65,MATCH($B$15,标准配置!$BX$66:$BX$67,0),MATCH($B$22,标准配置!$BY$22:$CF$22,0),1,1)</f>
        <v>#N/A</v>
      </c>
      <c r="R13" s="20"/>
      <c r="S13" s="20"/>
      <c r="T13" s="20"/>
    </row>
    <row r="14" spans="1:20" ht="19.149999999999999" customHeight="1">
      <c r="A14" s="109" t="s">
        <v>113</v>
      </c>
      <c r="B14" s="107">
        <f>Home!I9</f>
        <v>20</v>
      </c>
      <c r="C14" s="107"/>
      <c r="D14" s="107"/>
      <c r="E14" s="107"/>
      <c r="F14" s="107"/>
      <c r="G14" s="107"/>
      <c r="H14" s="108"/>
      <c r="J14" s="129" t="s">
        <v>114</v>
      </c>
      <c r="K14" s="13" t="s">
        <v>92</v>
      </c>
      <c r="L14" s="13" t="s">
        <v>92</v>
      </c>
      <c r="M14" s="13" t="s">
        <v>92</v>
      </c>
      <c r="N14" s="13" t="s">
        <v>92</v>
      </c>
      <c r="O14" s="20" t="e">
        <f ca="1">OFFSET(标准配置!BA70,1,MATCH($B$22,标准配置!BB70:BK70,0),1,1)</f>
        <v>#N/A</v>
      </c>
      <c r="P14" s="20" t="e">
        <f ca="1">OFFSET(标准配置!BM70,1,MATCH($B$22,标准配置!BN70:BV70,0),1,1)</f>
        <v>#N/A</v>
      </c>
      <c r="Q14" s="20" t="e">
        <f ca="1">OFFSET(标准配置!BX70,1,MATCH($B$22,标准配置!BY70:CF70,0),1,1)</f>
        <v>#N/A</v>
      </c>
      <c r="R14" s="20"/>
      <c r="S14" s="20"/>
      <c r="T14" s="20"/>
    </row>
    <row r="15" spans="1:20" ht="19.149999999999999" customHeight="1">
      <c r="A15" s="109" t="s">
        <v>115</v>
      </c>
      <c r="B15" s="107" t="str">
        <f>Home!I12</f>
        <v>SIDE</v>
      </c>
      <c r="C15" s="110" t="b">
        <f>IF(B15="REAR",TRUE,FALSE)</f>
        <v>0</v>
      </c>
      <c r="D15" s="107"/>
      <c r="E15" s="107"/>
      <c r="F15" s="107"/>
      <c r="G15" s="107"/>
      <c r="H15" s="108"/>
      <c r="J15" s="129" t="s">
        <v>116</v>
      </c>
      <c r="K15" s="37">
        <f>IF($C$15,"-",IF($B$22&lt;=2000,IF($C$20,450,480),IF($B$22&lt;=3000,IF($C$20,500,550),IF($B$22&lt;=5000,550,"###"))))</f>
        <v>550</v>
      </c>
      <c r="L15" s="37">
        <f>IF(B22&lt;=3000,840,-1040)</f>
        <v>840</v>
      </c>
      <c r="M15" s="19">
        <v>0</v>
      </c>
      <c r="N15" s="19">
        <v>0</v>
      </c>
      <c r="O15" s="20" t="e">
        <f ca="1">IF($C$15,IF(B22=400,0,O14/2),O14/2)</f>
        <v>#N/A</v>
      </c>
      <c r="P15" s="20" t="e">
        <f ca="1">IF($C$15,"-",P14/2)</f>
        <v>#N/A</v>
      </c>
      <c r="Q15" s="20" t="e">
        <f ca="1">IF($C$15,Q14/2,Q14/2)</f>
        <v>#N/A</v>
      </c>
      <c r="R15" s="20"/>
      <c r="S15" s="20"/>
      <c r="T15" s="20"/>
    </row>
    <row r="16" spans="1:20" ht="19.149999999999999" customHeight="1">
      <c r="A16" s="109" t="s">
        <v>117</v>
      </c>
      <c r="B16" s="107">
        <f>Home!C12</f>
        <v>2600</v>
      </c>
      <c r="C16" s="107"/>
      <c r="D16" s="107"/>
      <c r="E16" s="107"/>
      <c r="F16" s="107"/>
      <c r="G16" s="107"/>
      <c r="H16" s="108"/>
      <c r="J16" s="129" t="s">
        <v>118</v>
      </c>
      <c r="K16" s="13" t="s">
        <v>92</v>
      </c>
      <c r="L16" s="13" t="str">
        <f ca="1">OFFSET(标准配置!Y53,MATCH($B$13,标准配置!$Y$84:$Y$87,0),MATCH($B$22,标准配置!$Z$83:$AF$83,0),1,1)</f>
        <v>-</v>
      </c>
      <c r="M16" s="13" t="s">
        <v>92</v>
      </c>
      <c r="N16" s="13" t="s">
        <v>92</v>
      </c>
      <c r="O16" s="20" t="s">
        <v>92</v>
      </c>
      <c r="P16" s="13" t="e">
        <f ca="1">OFFSET(标准配置!BM53,MATCH($B$13,标准配置!BM54:BM59,0),MATCH($B$22,标准配置!BN53:BV53,0),1,1)</f>
        <v>#N/A</v>
      </c>
      <c r="Q16" s="20" t="s">
        <v>92</v>
      </c>
      <c r="R16" s="20"/>
      <c r="S16" s="20"/>
      <c r="T16" s="20"/>
    </row>
    <row r="17" spans="1:21" ht="19.149999999999999" customHeight="1">
      <c r="A17" s="109" t="s">
        <v>119</v>
      </c>
      <c r="B17" s="107">
        <f>Home!E12</f>
        <v>2150</v>
      </c>
      <c r="C17" s="107"/>
      <c r="D17" s="107"/>
      <c r="E17" s="107"/>
      <c r="F17" s="107"/>
      <c r="G17" s="107"/>
      <c r="H17" s="108"/>
      <c r="J17" s="129" t="s">
        <v>120</v>
      </c>
      <c r="K17" s="13" t="s">
        <v>92</v>
      </c>
      <c r="L17" s="13" t="s">
        <v>92</v>
      </c>
      <c r="M17" s="13" t="s">
        <v>92</v>
      </c>
      <c r="N17" s="13" t="s">
        <v>92</v>
      </c>
      <c r="O17" s="20" t="s">
        <v>92</v>
      </c>
      <c r="P17" s="13" t="e">
        <f ca="1">HLOOKUP(P16,标准配置!BN74:BQ75,2,0)</f>
        <v>#N/A</v>
      </c>
      <c r="Q17" s="20" t="s">
        <v>92</v>
      </c>
      <c r="R17" s="20"/>
      <c r="S17" s="20"/>
      <c r="T17" s="20"/>
    </row>
    <row r="18" spans="1:21" ht="19.149999999999999" customHeight="1">
      <c r="A18" s="109" t="s">
        <v>121</v>
      </c>
      <c r="B18" s="107" t="str">
        <f>Home!C15</f>
        <v>S2</v>
      </c>
      <c r="C18" s="110">
        <f>MATCH(B18,井道尺寸数据!B67:F67,0)</f>
        <v>2</v>
      </c>
      <c r="D18" s="107"/>
      <c r="E18" s="107"/>
      <c r="F18" s="107"/>
      <c r="G18" s="107"/>
      <c r="H18" s="108"/>
      <c r="J18" s="129" t="s">
        <v>122</v>
      </c>
      <c r="K18" s="37">
        <f ca="1">OFFSET(标准配置!N89,MATCH($B$13,标准配置!N90:N95,0),MATCH($B$22,标准配置!O89:W89,0),1,1)</f>
        <v>3950</v>
      </c>
      <c r="L18" s="37">
        <f ca="1">OFFSET(标准配置!Y83,MATCH($B$13,标准配置!Y84:Y87,0),MATCH($B$22,标准配置!Z83:AF83,0),1,1)</f>
        <v>4700</v>
      </c>
      <c r="M18" s="37">
        <f ca="1">OFFSET(标准配置!AH89,MATCH($B$13,标准配置!AH90:AH95,0),MATCH($B$22,标准配置!AI89:AO89,0),1,1)</f>
        <v>4650</v>
      </c>
      <c r="N18" s="37">
        <f ca="1">OFFSET(标准配置!AQ83,MATCH($B$13,标准配置!AQ84:AQ85,0),MATCH($B$22,标准配置!AR83:AT83,0),1,1)</f>
        <v>5100</v>
      </c>
      <c r="O18" s="20" t="e">
        <f ca="1">OFFSET(标准配置!BA89,MATCH($B$13,标准配置!$BA$90:$BA$95,0),MATCH($B$22,标准配置!$BB$89:$BK$89,0),1,1)</f>
        <v>#N/A</v>
      </c>
      <c r="P18" s="20" t="e">
        <f ca="1">OFFSET(标准配置!BM89,MATCH($B$13,标准配置!BM90:BM95,0),MATCH($B$22,标准配置!BN89:BV89,0),1,1)</f>
        <v>#N/A</v>
      </c>
      <c r="Q18" s="20" t="e">
        <f ca="1">OFFSET(标准配置!BX89,MATCH($B$13,标准配置!$BX$90:$BX$94,0),MATCH($B$22,标准配置!$BY$89:$CF$89,0),1,1)</f>
        <v>#N/A</v>
      </c>
      <c r="R18" s="20"/>
      <c r="S18" s="20"/>
      <c r="T18" s="20"/>
    </row>
    <row r="19" spans="1:21" ht="19.149999999999999" customHeight="1">
      <c r="A19" s="109" t="s">
        <v>123</v>
      </c>
      <c r="B19" s="107">
        <f>Home!E15</f>
        <v>1700</v>
      </c>
      <c r="C19" s="107"/>
      <c r="D19" s="107"/>
      <c r="E19" s="107"/>
      <c r="F19" s="107"/>
      <c r="G19" s="107"/>
      <c r="H19" s="108"/>
      <c r="J19" s="129" t="s">
        <v>124</v>
      </c>
      <c r="K19" s="37">
        <f ca="1">OFFSET(标准配置!N98,MATCH($B$13,标准配置!N99:N103,0),MATCH($B$22,标准配置!O98:W98,0),1,1)</f>
        <v>1400</v>
      </c>
      <c r="L19" s="37">
        <f ca="1">OFFSET(标准配置!Y90,MATCH($B$13,标准配置!Y91:Y94,0),MATCH($B$22,标准配置!Z90:AF90,0),1,1)</f>
        <v>1500</v>
      </c>
      <c r="M19" s="37">
        <f ca="1">OFFSET(标准配置!AH98,MATCH($B$13,标准配置!AH99:AH103,0),MATCH($B$22,标准配置!AI98:AO98,0),1,1)</f>
        <v>1400</v>
      </c>
      <c r="N19" s="37">
        <f ca="1">OFFSET(标准配置!AQ90,MATCH($B$13,标准配置!AQ91:AQ92,0),MATCH($B$22,标准配置!AR90:AT90,0),1,1)</f>
        <v>1500</v>
      </c>
      <c r="O19" s="20" t="e">
        <f ca="1">OFFSET(标准配置!BA98,MATCH($B$13,标准配置!BA99:BA104,0),MATCH($B$22,标准配置!BB98:BK98,0),1,1)</f>
        <v>#N/A</v>
      </c>
      <c r="P19" s="20" t="e">
        <f ca="1">OFFSET(标准配置!BM98,MATCH($B$13,标准配置!BM99:BM104,0),MATCH($B$22,标准配置!BN98:BV98,0),1,1)</f>
        <v>#N/A</v>
      </c>
      <c r="Q19" s="20" t="e">
        <f ca="1">OFFSET(标准配置!BX98,MATCH($B$13,标准配置!$BX$99:$BX$103,0),MATCH($B$22,标准配置!$BY$98:$CF$98,0),1,1)</f>
        <v>#N/A</v>
      </c>
      <c r="R19" s="20"/>
      <c r="S19" s="20"/>
      <c r="T19" s="20"/>
    </row>
    <row r="20" spans="1:21" ht="19.149999999999999" customHeight="1">
      <c r="A20" s="109" t="s">
        <v>125</v>
      </c>
      <c r="B20" s="107" t="str">
        <f>Home!I15</f>
        <v>No</v>
      </c>
      <c r="C20" s="110" t="b">
        <f>IF(B20="yes",TRUE,FALSE)</f>
        <v>0</v>
      </c>
      <c r="D20" s="107"/>
      <c r="E20" s="107"/>
      <c r="F20" s="107"/>
      <c r="G20" s="107"/>
      <c r="H20" s="108"/>
      <c r="J20" s="129" t="s">
        <v>126</v>
      </c>
      <c r="K20" s="37">
        <f ca="1">OFFSET(标准配置!N22,2,MATCH($B$22,标准配置!$O$22:$W$22,0),1,1)</f>
        <v>2200</v>
      </c>
      <c r="L20" s="37">
        <f ca="1">OFFSET(标准配置!Y22,1,MATCH($B$22,标准配置!Z22:AF22,0),1,1)</f>
        <v>2500</v>
      </c>
      <c r="M20" s="37">
        <f ca="1">OFFSET(标准配置!AH22,2,MATCH($B$22,标准配置!$AI$22:$AO$22,0),1,1)</f>
        <v>2200</v>
      </c>
      <c r="N20" s="37">
        <f ca="1">OFFSET(标准配置!AQ22,1,MATCH($B$22,标准配置!AR22:AT22,0),1,1)</f>
        <v>2500</v>
      </c>
      <c r="O20" s="20" t="e">
        <f ca="1">OFFSET(标准配置!BA22,MATCH(B15,标准配置!BA23:BA24,0),MATCH($B$22,标准配置!BB22:BK22,0),1,1)</f>
        <v>#N/A</v>
      </c>
      <c r="P20" s="20" t="e">
        <f ca="1">OFFSET(标准配置!BM22,2,MATCH($B$22,标准配置!BN22:BV22,0),1,1)</f>
        <v>#N/A</v>
      </c>
      <c r="Q20" s="20" t="e">
        <f ca="1">OFFSET(标准配置!BX22,2,MATCH($B$22,标准配置!$BY$22:$CF$22,0),1,1)</f>
        <v>#N/A</v>
      </c>
      <c r="R20" s="20"/>
      <c r="S20" s="20"/>
      <c r="T20" s="20"/>
      <c r="U20" s="18" t="s">
        <v>127</v>
      </c>
    </row>
    <row r="21" spans="1:21" ht="19.149999999999999" customHeight="1">
      <c r="A21" s="109" t="s">
        <v>128</v>
      </c>
      <c r="B21" s="107" t="str">
        <f>Home!E18</f>
        <v>Offset</v>
      </c>
      <c r="C21" s="110" t="b">
        <f>IF(B21="Offset",TRUE,FALSE)</f>
        <v>1</v>
      </c>
      <c r="D21" s="107"/>
      <c r="E21" s="107"/>
      <c r="F21" s="107"/>
      <c r="G21" s="107"/>
      <c r="H21" s="108"/>
      <c r="J21" s="129" t="s">
        <v>129</v>
      </c>
      <c r="K21" s="20">
        <f ca="1">OFFSET(标准配置!N27,2,MATCH($B$22,标准配置!$O$22:$W$22,0),1,1)</f>
        <v>2500</v>
      </c>
      <c r="L21" s="20">
        <f ca="1">OFFSET(标准配置!Y27,1,MATCH($B$22,标准配置!Z27:AF27,0),1,1)</f>
        <v>5900</v>
      </c>
      <c r="M21" s="20">
        <f ca="1">OFFSET(标准配置!AH27,2,MATCH($B$22,标准配置!$AI$22:$AO$22,0),1,1)</f>
        <v>2500</v>
      </c>
      <c r="N21" s="20">
        <f ca="1">OFFSET(标准配置!AQ27,1,MATCH($B$22,标准配置!AR27:AT27,0),1,1)</f>
        <v>5900</v>
      </c>
      <c r="O21" s="20" t="e">
        <f ca="1">OFFSET(标准配置!BA27,MATCH(B15,标准配置!BA28:BA29,0),MATCH($B$22,标准配置!BB27:BK27,0),1,1)</f>
        <v>#N/A</v>
      </c>
      <c r="P21" s="20" t="e">
        <f ca="1">OFFSET(标准配置!BM27,2,MATCH($B$22,标准配置!BN27:BV27,0),1,1)</f>
        <v>#N/A</v>
      </c>
      <c r="Q21" s="20" t="e">
        <f ca="1">OFFSET(标准配置!BX27,MATCH(B15,标准配置!BX28:BX29,0),MATCH($B$22,标准配置!$BY$27:$CF$27,0),1,1)</f>
        <v>#N/A</v>
      </c>
      <c r="R21" s="20"/>
      <c r="S21" s="20"/>
      <c r="T21" s="20"/>
      <c r="U21" s="18" t="s">
        <v>130</v>
      </c>
    </row>
    <row r="22" spans="1:21" ht="19.149999999999999" customHeight="1">
      <c r="A22" s="109" t="s">
        <v>131</v>
      </c>
      <c r="B22" s="107">
        <f>Home!E9</f>
        <v>3000</v>
      </c>
      <c r="C22" s="110"/>
      <c r="D22" s="107"/>
      <c r="E22" s="107"/>
      <c r="F22" s="107"/>
      <c r="G22" s="107"/>
      <c r="H22" s="108"/>
      <c r="J22" s="129" t="s">
        <v>132</v>
      </c>
      <c r="K22" s="130">
        <v>2200</v>
      </c>
      <c r="L22" s="130">
        <v>2200</v>
      </c>
      <c r="M22" s="130">
        <v>2200</v>
      </c>
      <c r="N22" s="130">
        <v>2200</v>
      </c>
      <c r="O22" s="131">
        <f ca="1">OFFSET(标准配置!$A$43,1,5,1,1)</f>
        <v>2300</v>
      </c>
      <c r="P22" s="131">
        <f ca="1">OFFSET(标准配置!$A$43,1,6,1,1)</f>
        <v>2300</v>
      </c>
      <c r="Q22" s="131">
        <f ca="1">OFFSET(标准配置!$A$43,1,4,1,1)</f>
        <v>2200</v>
      </c>
      <c r="R22" s="131"/>
      <c r="S22" s="131"/>
      <c r="T22" s="131"/>
    </row>
    <row r="23" spans="1:21" ht="19.149999999999999" customHeight="1">
      <c r="A23" s="109" t="s">
        <v>133</v>
      </c>
      <c r="B23" s="107">
        <f>Home!G12</f>
        <v>2200</v>
      </c>
      <c r="C23" s="110"/>
      <c r="D23" s="107"/>
      <c r="E23" s="107"/>
      <c r="F23" s="107"/>
      <c r="G23" s="107"/>
      <c r="H23" s="108"/>
      <c r="J23" s="132"/>
      <c r="K23" s="50"/>
      <c r="L23" s="50"/>
      <c r="M23" s="50"/>
      <c r="N23" s="50"/>
      <c r="O23" s="24"/>
      <c r="P23" s="24"/>
      <c r="Q23" s="18"/>
    </row>
    <row r="24" spans="1:21" ht="19.149999999999999" customHeight="1">
      <c r="A24" s="109" t="s">
        <v>134</v>
      </c>
      <c r="B24" s="107">
        <f>Home!G15</f>
        <v>2100</v>
      </c>
      <c r="C24" s="110"/>
      <c r="D24" s="107"/>
      <c r="E24" s="107"/>
      <c r="F24" s="107"/>
      <c r="G24" s="107"/>
      <c r="H24" s="108"/>
      <c r="J24" s="133"/>
      <c r="K24" s="50"/>
      <c r="L24" s="50"/>
      <c r="M24" s="50"/>
      <c r="N24" s="50"/>
      <c r="O24" s="24"/>
      <c r="P24" s="24"/>
      <c r="Q24" s="18"/>
    </row>
    <row r="25" spans="1:21" ht="19.149999999999999" customHeight="1">
      <c r="A25" s="109" t="s">
        <v>135</v>
      </c>
      <c r="B25" s="111" t="str">
        <f>Home!C18</f>
        <v>EN81-1</v>
      </c>
      <c r="C25" s="110"/>
      <c r="D25" s="107"/>
      <c r="E25" s="107"/>
      <c r="F25" s="107"/>
      <c r="G25" s="107"/>
      <c r="H25" s="108"/>
      <c r="J25" s="133"/>
      <c r="K25" s="50"/>
      <c r="L25" s="50"/>
      <c r="M25" s="50"/>
      <c r="N25" s="50"/>
      <c r="O25" s="24"/>
      <c r="P25" s="24"/>
      <c r="Q25" s="18"/>
    </row>
    <row r="26" spans="1:21" ht="19.149999999999999" customHeight="1">
      <c r="A26" s="109" t="s">
        <v>136</v>
      </c>
      <c r="B26" s="112" t="b">
        <f>IF(Home!G18="Local allow",TRUE,FALSE)</f>
        <v>1</v>
      </c>
      <c r="C26" s="110"/>
      <c r="D26" s="107"/>
      <c r="E26" s="107"/>
      <c r="F26" s="107"/>
      <c r="G26" s="107"/>
      <c r="H26" s="108"/>
      <c r="J26" s="133"/>
      <c r="K26" s="50"/>
      <c r="L26" s="50"/>
      <c r="M26" s="50"/>
      <c r="N26" s="50"/>
      <c r="O26" s="24"/>
      <c r="P26" s="24"/>
      <c r="Q26" s="18"/>
    </row>
    <row r="27" spans="1:21" ht="19.149999999999999" customHeight="1">
      <c r="A27" s="109" t="s">
        <v>137</v>
      </c>
      <c r="B27" s="112" t="b">
        <f>IF(Home!K15="Yes",TRUE,FALSE)</f>
        <v>0</v>
      </c>
      <c r="C27" s="110"/>
      <c r="D27" s="107"/>
      <c r="E27" s="107"/>
      <c r="F27" s="107"/>
      <c r="G27" s="107"/>
      <c r="H27" s="108"/>
      <c r="J27" s="133"/>
      <c r="K27" s="50"/>
      <c r="L27" s="50"/>
      <c r="M27" s="50"/>
      <c r="N27" s="50"/>
      <c r="O27" s="24"/>
      <c r="P27" s="24"/>
      <c r="Q27" s="18"/>
    </row>
    <row r="28" spans="1:21" ht="19.149999999999999" customHeight="1">
      <c r="A28" s="109"/>
      <c r="B28" s="107"/>
      <c r="C28" s="110"/>
      <c r="D28" s="107"/>
      <c r="E28" s="107"/>
      <c r="F28" s="107"/>
      <c r="G28" s="107"/>
      <c r="H28" s="108"/>
      <c r="J28" s="133"/>
      <c r="K28" s="50"/>
      <c r="L28" s="50"/>
      <c r="M28" s="50"/>
      <c r="N28" s="50"/>
      <c r="O28" s="24"/>
      <c r="P28" s="24"/>
      <c r="Q28" s="18"/>
    </row>
    <row r="29" spans="1:21" ht="30.2" customHeight="1">
      <c r="A29" s="106" t="s">
        <v>138</v>
      </c>
      <c r="B29" s="107"/>
      <c r="C29" s="107"/>
      <c r="D29" s="107"/>
      <c r="E29" s="107"/>
      <c r="F29" s="107"/>
      <c r="G29" s="107"/>
      <c r="H29" s="108"/>
    </row>
    <row r="30" spans="1:21" ht="19.149999999999999" customHeight="1">
      <c r="A30" s="102" t="s">
        <v>139</v>
      </c>
      <c r="B30" s="107"/>
      <c r="C30" s="107"/>
      <c r="D30" s="107"/>
      <c r="E30" s="107"/>
      <c r="F30" s="107"/>
      <c r="G30" s="107"/>
      <c r="H30" s="108"/>
    </row>
    <row r="31" spans="1:21" ht="19.149999999999999" customHeight="1">
      <c r="A31" s="109" t="s">
        <v>140</v>
      </c>
      <c r="B31" s="107"/>
      <c r="C31" s="107"/>
      <c r="D31" s="107"/>
      <c r="E31" s="107"/>
      <c r="F31" s="107"/>
      <c r="G31" s="107"/>
      <c r="H31" s="108"/>
    </row>
    <row r="32" spans="1:21" ht="19.149999999999999" customHeight="1">
      <c r="A32" s="113" t="s">
        <v>141</v>
      </c>
      <c r="B32" s="107" t="s">
        <v>142</v>
      </c>
      <c r="C32" s="107">
        <f>(B16-B19)/2</f>
        <v>450</v>
      </c>
      <c r="D32" s="107"/>
      <c r="E32" s="107"/>
      <c r="F32" s="107"/>
      <c r="G32" s="107"/>
      <c r="H32" s="108"/>
    </row>
    <row r="33" spans="1:12" ht="19.149999999999999" customHeight="1">
      <c r="A33" s="109" t="s">
        <v>143</v>
      </c>
      <c r="B33" s="107" t="str">
        <f ca="1">OFFSET(井道尺寸数据!C14,0,C33,1,1)</f>
        <v>不开尽门</v>
      </c>
      <c r="C33" s="110">
        <f>IF(AND(B12&lt;&gt;"LTHX",B12&lt;&gt;"LTHX Car",B12&lt;&gt;"LTHW",B12&lt;&gt;"LTHW Car"),1,IF(C32&gt;0,1,2))</f>
        <v>1</v>
      </c>
      <c r="D33" s="107"/>
      <c r="E33" s="107"/>
      <c r="F33" s="107"/>
      <c r="G33" s="107"/>
      <c r="H33" s="108"/>
    </row>
    <row r="34" spans="1:12" ht="19.149999999999999" customHeight="1">
      <c r="A34" s="111"/>
      <c r="B34" s="107"/>
      <c r="C34" s="107"/>
      <c r="D34" s="107"/>
      <c r="E34" s="107"/>
      <c r="F34" s="107"/>
      <c r="G34" s="107"/>
      <c r="H34" s="108"/>
    </row>
    <row r="35" spans="1:12" ht="19.149999999999999" customHeight="1">
      <c r="A35" s="102" t="s">
        <v>144</v>
      </c>
      <c r="D35" s="107"/>
      <c r="E35" s="107"/>
      <c r="F35" s="107"/>
      <c r="G35" s="107"/>
      <c r="H35" s="108"/>
    </row>
    <row r="36" spans="1:12" ht="19.149999999999999" customHeight="1">
      <c r="A36" s="109" t="s">
        <v>145</v>
      </c>
      <c r="B36" s="107" t="str">
        <f>IF(B25="GOST 33984.1","威特","展鹏")</f>
        <v>展鹏</v>
      </c>
      <c r="C36" s="107"/>
      <c r="D36" s="107"/>
      <c r="E36" s="107"/>
      <c r="F36" s="107"/>
      <c r="G36" s="107"/>
      <c r="H36" s="108"/>
    </row>
    <row r="37" spans="1:12" ht="19.149999999999999" customHeight="1">
      <c r="A37" s="109" t="s">
        <v>146</v>
      </c>
      <c r="B37" s="107">
        <f ca="1">IF(OR(AND(B25="EN81-20",C18=1),B25="GOST 33984.1"),0,OFFSET(井道尺寸数据!C14,D37,C33,1,1))</f>
        <v>104</v>
      </c>
      <c r="C37" s="110" t="s">
        <v>147</v>
      </c>
      <c r="D37" s="110">
        <f>IF(B36="威特",COUNTA(井道尺寸数据!C15:C20)+MATCH(B18,井道尺寸数据!C21:C23,0),MATCH(B18,井道尺寸数据!C15:C20,0))</f>
        <v>2</v>
      </c>
      <c r="E37" s="107"/>
      <c r="F37" s="107"/>
      <c r="G37" s="107"/>
      <c r="H37" s="108"/>
    </row>
    <row r="38" spans="1:12" ht="19.149999999999999" customHeight="1">
      <c r="A38" s="109" t="s">
        <v>148</v>
      </c>
      <c r="B38" s="107"/>
      <c r="C38" s="107"/>
      <c r="D38" s="107"/>
      <c r="E38" s="107"/>
      <c r="F38" s="107"/>
      <c r="G38" s="107"/>
      <c r="H38" s="108"/>
    </row>
    <row r="39" spans="1:12" ht="19.149999999999999" customHeight="1">
      <c r="A39" s="113"/>
      <c r="B39" s="107" t="s">
        <v>142</v>
      </c>
      <c r="C39" s="114">
        <f ca="1">(B16*B17+IF(C20,2,1)*B19*B37)/1000000</f>
        <v>5.7667999999999999</v>
      </c>
      <c r="D39" s="107"/>
      <c r="E39" s="107"/>
      <c r="F39" s="107"/>
      <c r="G39" s="107"/>
      <c r="H39" s="108"/>
    </row>
    <row r="40" spans="1:12" ht="19.149999999999999" customHeight="1">
      <c r="A40" s="113"/>
      <c r="B40" s="107"/>
      <c r="C40" s="115"/>
      <c r="D40" s="107"/>
      <c r="E40" s="107"/>
      <c r="F40" s="107"/>
      <c r="G40" s="107"/>
      <c r="H40" s="108"/>
    </row>
    <row r="41" spans="1:12" ht="19.149999999999999" customHeight="1">
      <c r="A41" s="102" t="s">
        <v>149</v>
      </c>
      <c r="B41" s="107"/>
      <c r="C41" s="107"/>
      <c r="D41" s="107"/>
      <c r="E41" s="107"/>
      <c r="F41" s="107"/>
      <c r="G41" s="107"/>
      <c r="H41" s="108"/>
    </row>
    <row r="42" spans="1:12" ht="19.149999999999999" customHeight="1">
      <c r="A42" s="109" t="s">
        <v>150</v>
      </c>
      <c r="C42" s="107"/>
      <c r="D42" s="107"/>
      <c r="E42" s="107"/>
      <c r="F42" s="107"/>
      <c r="G42" s="107"/>
      <c r="H42" s="108"/>
    </row>
    <row r="43" spans="1:12" ht="19.149999999999999" customHeight="1">
      <c r="A43" s="113" t="s">
        <v>151</v>
      </c>
      <c r="B43" s="107" t="s">
        <v>152</v>
      </c>
      <c r="C43" s="107">
        <f ca="1">OFFSET(井道尺寸数据!A35,MATCH(C39,井道尺寸数据!B36:B63,-1),0,1,1)</f>
        <v>3000</v>
      </c>
      <c r="F43" s="111"/>
      <c r="G43" s="107"/>
      <c r="H43" s="108"/>
    </row>
    <row r="44" spans="1:12" ht="19.149999999999999" customHeight="1">
      <c r="A44" s="113" t="s">
        <v>153</v>
      </c>
      <c r="B44" s="116">
        <f ca="1">J44+(C43-J44)*(C39-K44)/(L44-K44)</f>
        <v>2979.25</v>
      </c>
      <c r="C44" s="113" t="s">
        <v>154</v>
      </c>
      <c r="D44" s="112">
        <f ca="1">IF(B44&gt;2000,ROUNDUP(B44/100,0)*100,ROUNDUP(B44/10,0)*10)</f>
        <v>3000</v>
      </c>
      <c r="E44" s="34"/>
      <c r="F44" s="111"/>
      <c r="G44" s="107"/>
      <c r="H44" s="108"/>
      <c r="J44" s="134">
        <f ca="1">OFFSET(井道尺寸数据!A35,MATCH(C39,井道尺寸数据!B36:B63,-1)+1,0,1,1)</f>
        <v>2300</v>
      </c>
      <c r="K44" s="134">
        <f ca="1">OFFSET(井道尺寸数据!B35,MATCH(C39,井道尺寸数据!B36:B63,-1)+1,0,1,1)</f>
        <v>4.68</v>
      </c>
      <c r="L44" s="134">
        <f ca="1">OFFSET(井道尺寸数据!B35,MATCH(C39,井道尺寸数据!B36:B63,-1),0,1,1)</f>
        <v>5.8</v>
      </c>
    </row>
    <row r="45" spans="1:12" ht="19.149999999999999" customHeight="1">
      <c r="A45" s="113" t="s">
        <v>155</v>
      </c>
      <c r="B45" s="107" t="s">
        <v>156</v>
      </c>
      <c r="C45" s="117">
        <f ca="1">ROUNDUP(200*C39/100,0)*100</f>
        <v>1200</v>
      </c>
      <c r="D45" s="112"/>
      <c r="E45" s="34"/>
      <c r="F45" s="111"/>
      <c r="G45" s="107"/>
      <c r="H45" s="108"/>
      <c r="J45" s="134"/>
      <c r="K45" s="134"/>
      <c r="L45" s="134"/>
    </row>
    <row r="46" spans="1:12" ht="19.149999999999999" customHeight="1">
      <c r="A46" s="118" t="s">
        <v>157</v>
      </c>
      <c r="B46" s="107" t="s">
        <v>158</v>
      </c>
      <c r="C46" s="117">
        <f ca="1">IF(ISNUMBER(FIND("Car",B12)),C45,D44)</f>
        <v>3000</v>
      </c>
      <c r="D46" s="113"/>
      <c r="E46" s="113"/>
      <c r="F46" s="113" t="s">
        <v>159</v>
      </c>
      <c r="G46" s="107" t="b">
        <f ca="1">(C46&gt;B22)</f>
        <v>0</v>
      </c>
      <c r="H46" s="108"/>
      <c r="J46" s="134"/>
      <c r="K46" s="134"/>
      <c r="L46" s="134"/>
    </row>
    <row r="47" spans="1:12" ht="19.149999999999999" customHeight="1">
      <c r="A47" s="109" t="s">
        <v>160</v>
      </c>
      <c r="C47" s="119"/>
      <c r="D47" s="119"/>
      <c r="F47" s="119"/>
      <c r="G47" s="119"/>
      <c r="H47" s="108"/>
    </row>
    <row r="48" spans="1:12" ht="19.149999999999999" customHeight="1">
      <c r="A48" s="113" t="s">
        <v>161</v>
      </c>
      <c r="B48" s="107" t="s">
        <v>162</v>
      </c>
      <c r="C48" s="120">
        <f ca="1">IF(C39&lt;OFFSET(井道尺寸数据!D35,MATCH(C43,井道尺寸数据!A36:A60,0),0,1,1),ROUNDDOWN(OFFSET(井道尺寸数据!C35,MATCH(C43,井道尺寸数据!A36:A60,0),0,1,1)-(OFFSET(井道尺寸数据!D35,MATCH(C43,井道尺寸数据!A36:A60,0),0,1,1)-C39)*(OFFSET(井道尺寸数据!C35,MATCH(C43,井道尺寸数据!A36:A60,0),0,1,1)-OFFSET(井道尺寸数据!C35,MATCH(C43,井道尺寸数据!A36:A60,0)+1,0,1,1))/(OFFSET(井道尺寸数据!D35,MATCH(C43,井道尺寸数据!A36:A60,0),0,1,1)-OFFSET(井道尺寸数据!D35,MATCH(C43,井道尺寸数据!A36:A60,0)+1,0,1,1)),0),OFFSET(井道尺寸数据!C35,MATCH(C43,井道尺寸数据!A36:A60,0),0,1,1))</f>
        <v>40</v>
      </c>
      <c r="E48" s="119"/>
      <c r="H48" s="108"/>
    </row>
    <row r="49" spans="1:10" ht="19.149999999999999" customHeight="1">
      <c r="A49" s="121" t="s">
        <v>163</v>
      </c>
      <c r="B49" s="122" t="b">
        <f ca="1">C48&lt;F49</f>
        <v>0</v>
      </c>
      <c r="C49" s="123"/>
      <c r="D49" s="120"/>
      <c r="E49" s="113" t="s">
        <v>164</v>
      </c>
      <c r="F49" s="120">
        <f>ROUNDDOWN(B22/75,0)</f>
        <v>40</v>
      </c>
      <c r="H49" s="119"/>
      <c r="I49" s="108"/>
    </row>
    <row r="50" spans="1:10" ht="19.149999999999999" customHeight="1">
      <c r="A50" s="113"/>
      <c r="B50" s="122" t="str">
        <f ca="1">IF(AND(B49,B12&lt;&gt;"LTHX",B12&lt;&gt;"LTHX Car",B12&lt;&gt;"LTHW",B12&lt;&gt;"LTHW Car"),"乘客人数"&amp;F49&amp;"减小为"&amp;C48&amp;"，建议增大轿厢尺寸！","")</f>
        <v/>
      </c>
      <c r="C50" s="120"/>
      <c r="E50" s="120"/>
      <c r="G50" s="119"/>
      <c r="H50" s="108"/>
      <c r="J50" s="122"/>
    </row>
    <row r="51" spans="1:10" ht="19.149999999999999" customHeight="1">
      <c r="A51" s="118" t="s">
        <v>165</v>
      </c>
      <c r="B51" s="107" t="s">
        <v>166</v>
      </c>
      <c r="C51" s="120" t="str">
        <f>IF(AND(OR(B12="LTHX",B12="LTHW",B12="LTHX Car",B12="LTHW Car"),B25="EN81-1"),"-",MIN(C48,F49))</f>
        <v>-</v>
      </c>
      <c r="E51" s="120"/>
      <c r="G51" s="119"/>
      <c r="H51" s="108"/>
      <c r="J51" s="122"/>
    </row>
    <row r="52" spans="1:10" ht="19.149999999999999" customHeight="1">
      <c r="A52" s="124" t="s">
        <v>167</v>
      </c>
      <c r="B52" s="125">
        <f>IF(B26,INDEX(井道尺寸数据!A36:A63,MATCH(B22+1,井道尺寸数据!A36:A63,-1)),B22)</f>
        <v>3500</v>
      </c>
      <c r="G52" s="119"/>
      <c r="H52" s="108"/>
      <c r="J52" s="122"/>
    </row>
    <row r="53" spans="1:10" ht="19.149999999999999" customHeight="1">
      <c r="A53" s="113" t="s">
        <v>168</v>
      </c>
      <c r="B53" s="125" t="b">
        <f ca="1">IF(B26,C46&gt;B52,G46)</f>
        <v>0</v>
      </c>
      <c r="C53" s="34" t="str">
        <f ca="1">IF(B53,"轿厢面积超标，请减小轿厢尺寸！","")</f>
        <v/>
      </c>
      <c r="E53" s="120"/>
      <c r="G53" s="119"/>
      <c r="H53" s="108"/>
      <c r="J53" s="122"/>
    </row>
    <row r="54" spans="1:10" ht="19.149999999999999" customHeight="1">
      <c r="A54" s="113"/>
      <c r="B54" s="125"/>
      <c r="C54" s="120"/>
      <c r="E54" s="120"/>
      <c r="G54" s="119"/>
      <c r="H54" s="108"/>
      <c r="J54" s="122"/>
    </row>
    <row r="55" spans="1:10" ht="19.149999999999999" customHeight="1">
      <c r="A55" s="102" t="s">
        <v>169</v>
      </c>
      <c r="B55" s="107"/>
      <c r="C55" s="120"/>
      <c r="D55" s="119"/>
      <c r="E55" s="119"/>
      <c r="F55" s="119"/>
      <c r="G55" s="119"/>
      <c r="H55" s="108"/>
    </row>
    <row r="56" spans="1:10" ht="19.149999999999999" customHeight="1">
      <c r="A56" s="109" t="s">
        <v>170</v>
      </c>
      <c r="B56" s="107">
        <f ca="1">IF(Home!$I$18="Critical",0,OFFSET(IF(Home!$I$18="Well to do",井道尺寸数据!A4,井道尺寸数据!A3),0,IF(B14&lt;=50,1,IF(B14&lt;=125,2,3))))</f>
        <v>15</v>
      </c>
      <c r="C56" s="107"/>
      <c r="D56" s="107"/>
      <c r="E56" s="107"/>
      <c r="F56" s="107"/>
      <c r="G56" s="107"/>
      <c r="H56" s="108"/>
      <c r="I56" s="102"/>
    </row>
    <row r="57" spans="1:10" ht="19.149999999999999" customHeight="1">
      <c r="A57" s="109" t="s">
        <v>171</v>
      </c>
      <c r="B57" s="107">
        <f ca="1">OFFSET(J13,0,$G$12,1,1)</f>
        <v>1682</v>
      </c>
      <c r="D57" s="107"/>
      <c r="E57" s="107"/>
      <c r="F57" s="107"/>
      <c r="G57" s="107"/>
      <c r="H57" s="108"/>
    </row>
    <row r="58" spans="1:10" ht="19.149999999999999" customHeight="1">
      <c r="A58" s="126"/>
      <c r="B58" s="127"/>
      <c r="D58" s="107"/>
      <c r="E58" s="107"/>
      <c r="F58" s="107"/>
      <c r="G58" s="107"/>
      <c r="H58" s="108"/>
    </row>
    <row r="59" spans="1:10" ht="30.2" customHeight="1">
      <c r="A59" s="106" t="s">
        <v>172</v>
      </c>
      <c r="B59" s="107"/>
      <c r="C59" s="120"/>
      <c r="D59" s="119"/>
      <c r="E59" s="119"/>
      <c r="F59" s="119"/>
      <c r="G59" s="119"/>
      <c r="H59" s="108"/>
    </row>
    <row r="60" spans="1:10" ht="19.149999999999999" customHeight="1">
      <c r="A60" s="111" t="s">
        <v>173</v>
      </c>
      <c r="B60" s="107"/>
      <c r="C60" s="120"/>
      <c r="D60" s="119"/>
      <c r="E60" s="119"/>
      <c r="F60" s="119"/>
      <c r="G60" s="119"/>
      <c r="H60" s="108"/>
    </row>
    <row r="61" spans="1:10" ht="19.149999999999999" customHeight="1">
      <c r="A61" s="109" t="s">
        <v>174</v>
      </c>
      <c r="C61" s="107">
        <f ca="1">OFFSET(井道尺寸数据!A103,0,$G$12,1,1)</f>
        <v>320</v>
      </c>
      <c r="D61" s="119"/>
      <c r="E61" s="119"/>
      <c r="F61" s="128"/>
      <c r="G61" s="119"/>
      <c r="H61" s="108"/>
    </row>
    <row r="62" spans="1:10" ht="19.149999999999999" customHeight="1">
      <c r="A62" s="109" t="s">
        <v>175</v>
      </c>
      <c r="C62" s="107">
        <f ca="1">OFFSET(井道尺寸数据!A104,0,$G$12,1,1)</f>
        <v>880</v>
      </c>
      <c r="D62" s="119"/>
      <c r="E62" s="119"/>
      <c r="F62" s="119"/>
      <c r="G62" s="119"/>
      <c r="H62" s="108"/>
    </row>
    <row r="63" spans="1:10" ht="19.149999999999999" customHeight="1">
      <c r="A63" s="109" t="s">
        <v>176</v>
      </c>
      <c r="B63" s="107"/>
      <c r="C63" s="120"/>
      <c r="D63" s="119"/>
      <c r="E63" s="119"/>
      <c r="F63" s="119"/>
      <c r="G63" s="119"/>
      <c r="H63" s="108"/>
    </row>
    <row r="64" spans="1:10" ht="35.1" customHeight="1">
      <c r="A64" s="107" t="s">
        <v>177</v>
      </c>
      <c r="B64" s="111"/>
      <c r="D64" s="120" t="s">
        <v>142</v>
      </c>
      <c r="E64" s="107">
        <f ca="1">-B16/2-IF(C15,C61,C62)-B56</f>
        <v>-2195</v>
      </c>
      <c r="F64" s="119"/>
      <c r="G64" s="119"/>
      <c r="H64" s="108"/>
      <c r="I64" s="102" t="s">
        <v>178</v>
      </c>
    </row>
    <row r="65" spans="1:9" ht="35.1" customHeight="1">
      <c r="A65" s="107" t="s">
        <v>179</v>
      </c>
      <c r="B65" s="107"/>
      <c r="C65" s="120"/>
      <c r="D65" s="120" t="s">
        <v>142</v>
      </c>
      <c r="E65" s="120">
        <f ca="1">B16/2+C61+B56</f>
        <v>1635</v>
      </c>
      <c r="F65" s="119"/>
      <c r="G65" s="119"/>
      <c r="H65" s="108"/>
    </row>
    <row r="66" spans="1:9" ht="19.149999999999999" customHeight="1">
      <c r="A66" s="107"/>
      <c r="B66" s="107"/>
      <c r="C66" s="120"/>
      <c r="D66" s="120"/>
      <c r="E66" s="120"/>
      <c r="F66" s="119"/>
      <c r="G66" s="119"/>
      <c r="H66" s="108"/>
    </row>
    <row r="67" spans="1:9" ht="19.149999999999999" customHeight="1">
      <c r="A67" s="111" t="s">
        <v>180</v>
      </c>
      <c r="B67" s="107"/>
      <c r="C67" s="120"/>
      <c r="D67" s="119"/>
      <c r="E67" s="119"/>
      <c r="F67" s="119"/>
      <c r="G67" s="119"/>
      <c r="H67" s="108"/>
    </row>
    <row r="68" spans="1:9" ht="19.149999999999999" customHeight="1">
      <c r="A68" s="109" t="s">
        <v>181</v>
      </c>
      <c r="B68" s="107" t="str">
        <f ca="1">IF(C15,OFFSET(井道尺寸数据!A96,0,G12,1,1),"-")</f>
        <v>-</v>
      </c>
      <c r="D68" s="119"/>
      <c r="E68" s="119"/>
      <c r="F68" s="119"/>
      <c r="G68" s="119"/>
      <c r="H68" s="108"/>
    </row>
    <row r="69" spans="1:9" ht="19.149999999999999" customHeight="1">
      <c r="A69" s="109" t="s">
        <v>182</v>
      </c>
      <c r="B69" s="107">
        <f ca="1">OFFSET(J15,0,G12,1,1)</f>
        <v>0</v>
      </c>
      <c r="D69" s="119"/>
      <c r="E69" s="119"/>
      <c r="F69" s="119"/>
      <c r="G69" s="119"/>
      <c r="H69" s="108"/>
    </row>
    <row r="70" spans="1:9" ht="19.149999999999999" customHeight="1">
      <c r="A70" s="109" t="s">
        <v>176</v>
      </c>
      <c r="B70" s="107"/>
      <c r="C70" s="120"/>
      <c r="D70" s="119"/>
      <c r="E70" s="119"/>
      <c r="F70" s="119"/>
      <c r="G70" s="119"/>
      <c r="H70" s="108"/>
      <c r="I70" s="102" t="s">
        <v>183</v>
      </c>
    </row>
    <row r="71" spans="1:9" ht="35.1" customHeight="1">
      <c r="A71" s="107" t="s">
        <v>177</v>
      </c>
      <c r="B71" s="111"/>
      <c r="D71" s="120" t="s">
        <v>142</v>
      </c>
      <c r="E71" s="107" t="str">
        <f>IF(C15,-B69-B57/2-B68-B56,"-")</f>
        <v>-</v>
      </c>
      <c r="F71" s="119"/>
      <c r="G71" s="119"/>
      <c r="H71" s="108"/>
    </row>
    <row r="72" spans="1:9" ht="35.1" customHeight="1">
      <c r="A72" s="107" t="s">
        <v>179</v>
      </c>
      <c r="B72" s="107"/>
      <c r="C72" s="120"/>
      <c r="D72" s="120" t="s">
        <v>142</v>
      </c>
      <c r="E72" s="120" t="str">
        <f>IF(C15,-B69+B57/2+B68+B56,"-")</f>
        <v>-</v>
      </c>
      <c r="F72" s="119"/>
      <c r="G72" s="119"/>
      <c r="H72" s="108"/>
    </row>
    <row r="73" spans="1:9" ht="19.149999999999999" customHeight="1">
      <c r="A73" s="107"/>
      <c r="B73" s="107"/>
      <c r="C73" s="120"/>
      <c r="D73" s="120"/>
      <c r="E73" s="120"/>
      <c r="F73" s="119"/>
      <c r="G73" s="119"/>
      <c r="H73" s="108"/>
    </row>
    <row r="74" spans="1:9" ht="19.149999999999999" customHeight="1">
      <c r="A74" s="111" t="s">
        <v>184</v>
      </c>
      <c r="B74" s="107"/>
      <c r="C74" s="120"/>
      <c r="D74" s="119"/>
      <c r="E74" s="119"/>
      <c r="F74" s="119"/>
      <c r="G74" s="119"/>
      <c r="H74" s="108"/>
    </row>
    <row r="75" spans="1:9" ht="28.15" customHeight="1">
      <c r="A75" s="109" t="s">
        <v>185</v>
      </c>
      <c r="B75" s="107"/>
      <c r="C75" s="120"/>
      <c r="D75" s="123" t="s">
        <v>186</v>
      </c>
      <c r="E75" s="120">
        <f ca="1">OFFSET(井道尺寸数据!H74,IF(B36="威特",COUNTA(井道尺寸数据!H75:H80)+MATCH(B18,井道尺寸数据!H81:H83,0),MATCH(B18,井道尺寸数据!H75:H80,0)),1)+IF(AND(B18="C2",B27),50,0)</f>
        <v>92</v>
      </c>
      <c r="F75" s="123" t="s">
        <v>187</v>
      </c>
      <c r="G75" s="120">
        <f ca="1">OFFSET(井道尺寸数据!H74,IF(B36="威特",COUNTA(井道尺寸数据!H75:H80)+MATCH(B18,井道尺寸数据!H81:H83,0),MATCH(B18,井道尺寸数据!H75:H80,0)),2)+IF(AND(ISNUMBER(FIND(B18,"S")),B27),50,0)</f>
        <v>140</v>
      </c>
      <c r="H75" s="108"/>
    </row>
    <row r="76" spans="1:9" ht="127.9" customHeight="1">
      <c r="A76" s="107" t="s">
        <v>177</v>
      </c>
      <c r="B76" s="111"/>
      <c r="D76" s="120" t="s">
        <v>142</v>
      </c>
      <c r="E76" s="107">
        <f ca="1">ROUNDUP(IF(C18=1,-B19-E75-B56,IF(C18=2,-B19-E75-B56,IF(C18=3,-0.75*B19-E75-B56,IF(C18=4,-5/6*B19-E75-B56,IF(C18=5,-2/3*B19-E75-B56,"###"))))),0)</f>
        <v>-1807</v>
      </c>
      <c r="F76" s="135">
        <f ca="1">E64-E76</f>
        <v>-388</v>
      </c>
      <c r="G76" s="135">
        <f ca="1">ABS(F76)</f>
        <v>388</v>
      </c>
      <c r="H76" s="108"/>
      <c r="I76" s="139"/>
    </row>
    <row r="77" spans="1:9" ht="111" customHeight="1">
      <c r="A77" s="107" t="s">
        <v>179</v>
      </c>
      <c r="B77" s="107"/>
      <c r="C77" s="120"/>
      <c r="D77" s="120" t="s">
        <v>142</v>
      </c>
      <c r="E77" s="107">
        <f ca="1">ROUNDUP(IF(C18=1,B19+G75+B56,IF(OR(C18=2,C18=4),0.5*B19+G75+B56,IF(C18=3,0.75*B19+G75+B56,IF(C18=5,2/3*B19+G75+B56,"###")))),0)</f>
        <v>1005</v>
      </c>
      <c r="F77" s="135">
        <f ca="1">E65-E77</f>
        <v>630</v>
      </c>
      <c r="G77" s="135">
        <f ca="1">ABS(F77)</f>
        <v>630</v>
      </c>
      <c r="H77" s="108"/>
    </row>
    <row r="78" spans="1:9" ht="19.149999999999999" customHeight="1">
      <c r="A78" s="109" t="s">
        <v>188</v>
      </c>
      <c r="B78" s="107"/>
      <c r="C78" s="120"/>
      <c r="D78" s="120"/>
      <c r="E78" s="120"/>
      <c r="F78" s="119"/>
      <c r="G78" s="119"/>
      <c r="H78" s="108"/>
    </row>
    <row r="79" spans="1:9" ht="48.75" customHeight="1">
      <c r="A79" s="109"/>
      <c r="B79" s="107"/>
      <c r="C79" s="113"/>
      <c r="D79" s="120" t="s">
        <v>142</v>
      </c>
      <c r="E79" s="120">
        <f ca="1">IF(AND(OR(MIN(E64,E76)=E76,MAX(E65,E77)=E77),(E77-E76)&lt;(MAX(E77,E65)-MIN(E76,E64))),INDEX(F76:F77,MATCH(MIN(G76,G77),G76:G77,0)),0)</f>
        <v>0</v>
      </c>
      <c r="F79" s="119"/>
      <c r="G79" s="120"/>
      <c r="H79" s="108"/>
      <c r="I79" s="102"/>
    </row>
    <row r="80" spans="1:9" ht="108" customHeight="1">
      <c r="A80" s="109"/>
      <c r="B80" s="107"/>
      <c r="C80" s="113"/>
      <c r="D80" s="120" t="s">
        <v>142</v>
      </c>
      <c r="E80" s="120">
        <f>IF(OR(B18="S2",B18="S3"),ABS(B16-B19)/2,IF(E79&gt;=0,1,-1)*ROUNDUP(MIN(ABS(E79),ABS(B16-B19)/2)/25,0)*25)</f>
        <v>450</v>
      </c>
      <c r="F80" s="119"/>
      <c r="G80" s="120"/>
      <c r="H80" s="108"/>
      <c r="I80" s="102" t="s">
        <v>189</v>
      </c>
    </row>
    <row r="81" spans="1:9" ht="47.45" customHeight="1">
      <c r="A81" s="109"/>
      <c r="B81" s="107"/>
      <c r="C81" s="113"/>
      <c r="D81" s="120" t="s">
        <v>142</v>
      </c>
      <c r="E81" s="120">
        <f>IF(B21="Offset",E80,B21)</f>
        <v>450</v>
      </c>
      <c r="F81" s="119"/>
      <c r="G81" s="119"/>
      <c r="H81" s="108"/>
      <c r="I81" s="102"/>
    </row>
    <row r="82" spans="1:9" ht="19.149999999999999" customHeight="1">
      <c r="A82" s="109" t="s">
        <v>176</v>
      </c>
      <c r="B82" s="107"/>
      <c r="C82" s="120"/>
      <c r="D82" s="120"/>
      <c r="E82" s="120"/>
      <c r="F82" s="119"/>
      <c r="G82" s="119"/>
      <c r="H82" s="108"/>
    </row>
    <row r="83" spans="1:9" ht="19.149999999999999" customHeight="1">
      <c r="A83" s="107" t="s">
        <v>177</v>
      </c>
      <c r="B83" s="107"/>
      <c r="C83" s="113" t="s">
        <v>190</v>
      </c>
      <c r="D83" s="120" t="s">
        <v>142</v>
      </c>
      <c r="E83" s="107">
        <f ca="1">E76+E81</f>
        <v>-1357</v>
      </c>
      <c r="F83" s="119"/>
      <c r="G83" s="119"/>
      <c r="H83" s="108"/>
    </row>
    <row r="84" spans="1:9" ht="19.149999999999999" customHeight="1">
      <c r="A84" s="107" t="s">
        <v>179</v>
      </c>
      <c r="B84" s="107"/>
      <c r="C84" s="113" t="s">
        <v>191</v>
      </c>
      <c r="D84" s="120" t="s">
        <v>142</v>
      </c>
      <c r="E84" s="120">
        <f ca="1">E77+E81</f>
        <v>1455</v>
      </c>
      <c r="F84" s="119"/>
      <c r="G84" s="119"/>
      <c r="H84" s="108"/>
    </row>
    <row r="85" spans="1:9" ht="19.149999999999999" customHeight="1">
      <c r="A85" s="107"/>
      <c r="B85" s="107"/>
      <c r="C85" s="120"/>
      <c r="D85" s="120"/>
      <c r="E85" s="120"/>
      <c r="F85" s="119"/>
      <c r="G85" s="119"/>
      <c r="H85" s="108"/>
    </row>
    <row r="86" spans="1:9" ht="19.149999999999999" customHeight="1">
      <c r="A86" s="111" t="s">
        <v>192</v>
      </c>
      <c r="B86" s="107"/>
      <c r="C86" s="120"/>
      <c r="D86" s="120"/>
      <c r="E86" s="120"/>
      <c r="F86" s="119"/>
      <c r="G86" s="119"/>
      <c r="H86" s="108"/>
    </row>
    <row r="87" spans="1:9" ht="19.149999999999999" customHeight="1">
      <c r="A87" s="109" t="s">
        <v>176</v>
      </c>
      <c r="B87" s="107"/>
      <c r="C87" s="120"/>
      <c r="D87" s="120"/>
      <c r="E87" s="120"/>
      <c r="F87" s="119"/>
      <c r="G87" s="119"/>
      <c r="H87" s="108"/>
    </row>
    <row r="88" spans="1:9" ht="19.149999999999999" customHeight="1">
      <c r="A88" s="136" t="s">
        <v>177</v>
      </c>
      <c r="C88" s="113" t="s">
        <v>193</v>
      </c>
      <c r="D88" s="120" t="s">
        <v>142</v>
      </c>
      <c r="E88" s="120">
        <f ca="1">MIN(E64,E71,E83)</f>
        <v>-2195</v>
      </c>
      <c r="F88" s="119"/>
      <c r="G88" s="119"/>
      <c r="H88" s="108"/>
    </row>
    <row r="89" spans="1:9" ht="19.149999999999999" customHeight="1">
      <c r="A89" s="136" t="s">
        <v>179</v>
      </c>
      <c r="B89" s="107"/>
      <c r="C89" s="113" t="s">
        <v>194</v>
      </c>
      <c r="D89" s="120" t="s">
        <v>142</v>
      </c>
      <c r="E89" s="120">
        <f ca="1">MAX(E65,E72,E84)</f>
        <v>1635</v>
      </c>
      <c r="F89" s="119"/>
      <c r="G89" s="119"/>
      <c r="H89" s="108"/>
    </row>
    <row r="90" spans="1:9" ht="19.149999999999999" customHeight="1">
      <c r="A90" s="109" t="s">
        <v>195</v>
      </c>
      <c r="B90" s="107"/>
      <c r="C90" s="120"/>
      <c r="E90" s="120"/>
      <c r="F90" s="119"/>
      <c r="G90" s="119"/>
      <c r="H90" s="108"/>
    </row>
    <row r="91" spans="1:9" ht="19.149999999999999" customHeight="1">
      <c r="A91" s="107"/>
      <c r="B91" s="137"/>
      <c r="C91" s="113" t="s">
        <v>196</v>
      </c>
      <c r="D91" s="120" t="s">
        <v>142</v>
      </c>
      <c r="E91" s="120">
        <f ca="1">ROUNDUP((E89-E88)/10,0)*10</f>
        <v>3830</v>
      </c>
      <c r="F91" s="119"/>
      <c r="G91" s="119"/>
      <c r="H91" s="108"/>
    </row>
    <row r="92" spans="1:9" ht="30.2" customHeight="1">
      <c r="A92" s="106" t="s">
        <v>197</v>
      </c>
      <c r="B92" s="107"/>
      <c r="C92" s="120"/>
      <c r="D92" s="119"/>
      <c r="E92" s="119"/>
      <c r="F92" s="119"/>
      <c r="G92" s="119"/>
      <c r="H92" s="108"/>
    </row>
    <row r="93" spans="1:9" ht="19.149999999999999" customHeight="1">
      <c r="A93" s="111" t="s">
        <v>198</v>
      </c>
      <c r="B93" s="107"/>
      <c r="C93" s="120"/>
      <c r="D93" s="119"/>
      <c r="E93" s="119"/>
      <c r="F93" s="119"/>
      <c r="G93" s="119"/>
      <c r="H93" s="108"/>
    </row>
    <row r="94" spans="1:9" ht="19.149999999999999" customHeight="1">
      <c r="A94" s="109" t="s">
        <v>199</v>
      </c>
      <c r="B94" s="107">
        <f ca="1">OFFSET(井道尺寸数据!A67,MATCH(B36,井道尺寸数据!A68:A71,0),C18,1,1)</f>
        <v>120</v>
      </c>
      <c r="D94" s="119"/>
      <c r="E94" s="119"/>
      <c r="F94" s="119"/>
      <c r="G94" s="119"/>
      <c r="H94" s="108"/>
    </row>
    <row r="95" spans="1:9" ht="19.149999999999999" customHeight="1">
      <c r="A95" s="109" t="s">
        <v>200</v>
      </c>
      <c r="B95" s="107">
        <f ca="1">OFFSET(井道尺寸数据!C74,D37,C33,1,1)</f>
        <v>176</v>
      </c>
      <c r="D95" s="119"/>
      <c r="E95" s="119"/>
      <c r="F95" s="119"/>
      <c r="G95" s="119"/>
      <c r="H95" s="108"/>
    </row>
    <row r="96" spans="1:9" ht="19.149999999999999" customHeight="1">
      <c r="A96" s="138" t="s">
        <v>201</v>
      </c>
      <c r="B96" s="107" t="str">
        <f ca="1">OFFSET(井道尺寸数据!A105,0,G12,1,1)</f>
        <v>-</v>
      </c>
      <c r="D96" s="119"/>
      <c r="E96" s="119"/>
      <c r="F96" s="119"/>
      <c r="G96" s="119"/>
      <c r="H96" s="108"/>
    </row>
    <row r="97" spans="1:10" ht="19.149999999999999" customHeight="1">
      <c r="A97" s="138" t="s">
        <v>202</v>
      </c>
      <c r="B97" s="107">
        <f ca="1">OFFSET(井道尺寸数据!A106,0,$G$12,1,1)</f>
        <v>85</v>
      </c>
      <c r="D97" s="119"/>
      <c r="E97" s="119"/>
      <c r="F97" s="119"/>
      <c r="G97" s="119"/>
      <c r="H97" s="108"/>
    </row>
    <row r="98" spans="1:10" ht="19.149999999999999" customHeight="1">
      <c r="A98" s="109" t="s">
        <v>203</v>
      </c>
      <c r="B98" s="107">
        <f>井道尺寸数据!B110</f>
        <v>100</v>
      </c>
      <c r="D98" s="119"/>
      <c r="E98" s="119"/>
      <c r="F98" s="119"/>
      <c r="G98" s="119"/>
      <c r="H98" s="108"/>
    </row>
    <row r="99" spans="1:10" ht="19.149999999999999" customHeight="1">
      <c r="A99" s="109" t="s">
        <v>204</v>
      </c>
      <c r="B99" s="107">
        <f>井道尺寸数据!A110</f>
        <v>40</v>
      </c>
      <c r="C99" s="113"/>
      <c r="D99" s="120"/>
      <c r="E99" s="120"/>
      <c r="F99" s="119"/>
      <c r="G99" s="119"/>
      <c r="H99" s="108"/>
      <c r="I99" s="102"/>
    </row>
    <row r="100" spans="1:10" ht="19.149999999999999" customHeight="1">
      <c r="A100" s="109" t="s">
        <v>205</v>
      </c>
      <c r="B100" s="107">
        <f ca="1">OFFSET(井道尺寸数据!H74,D37,3,1,1)</f>
        <v>96</v>
      </c>
      <c r="C100" s="113"/>
      <c r="D100" s="120"/>
      <c r="E100" s="120"/>
      <c r="F100" s="119"/>
      <c r="G100" s="119"/>
      <c r="H100" s="108"/>
      <c r="I100" s="102"/>
    </row>
    <row r="101" spans="1:10" ht="19.149999999999999" customHeight="1">
      <c r="A101" s="109" t="s">
        <v>206</v>
      </c>
      <c r="D101" s="119"/>
      <c r="E101" s="119"/>
      <c r="F101" s="119"/>
      <c r="G101" s="119"/>
      <c r="H101" s="108"/>
    </row>
    <row r="102" spans="1:10" ht="150.6" customHeight="1">
      <c r="A102" s="109"/>
      <c r="B102" s="107"/>
      <c r="F102" s="120" t="s">
        <v>142</v>
      </c>
      <c r="G102" s="107">
        <f>0.5*B17-IF(C20,0,IF(OR(B12="LTHX",B12="LTHW",B12="LTHX Car",B12="LTHW Car"),IF(B22&lt;=3000,115,IF(B22&lt;=5000,25,"###"))+IF(C33=1,80,40),IF(B12="LTK",0.5*B100+52.5,IF(B12="EVIK",IF(B22&lt;630,180,130),IF(B12="EVIN",IF(B22&lt;630,180,130),"###")))))</f>
        <v>880</v>
      </c>
      <c r="H102" s="108"/>
      <c r="I102" s="102" t="s">
        <v>207</v>
      </c>
    </row>
    <row r="103" spans="1:10" ht="19.149999999999999" customHeight="1">
      <c r="A103" s="109" t="s">
        <v>208</v>
      </c>
      <c r="B103" s="107"/>
      <c r="F103" s="120"/>
      <c r="G103" s="107"/>
      <c r="H103" s="108"/>
    </row>
    <row r="104" spans="1:10" ht="116.45" customHeight="1">
      <c r="A104" s="109"/>
      <c r="B104" s="107"/>
      <c r="F104" s="123" t="s">
        <v>142</v>
      </c>
      <c r="G104" s="107">
        <f ca="1">IF(OR(AND(NOT(C15),IFERROR((B113-B57/2-B112-25)&lt;(-G102-B99),FALSE)),AND(C20,IFERROR((B113+B57/2+B112+25)&gt;(B17-G102+B99),FALSE))),IF(J104&lt;-B98,-B98,IF(J104&gt;B98,B98,J104)),0)</f>
        <v>83</v>
      </c>
      <c r="H104" s="108"/>
      <c r="J104" s="112">
        <f ca="1">B57/2+B112+25-B113-B99-G102</f>
        <v>83</v>
      </c>
    </row>
    <row r="105" spans="1:10" ht="19.149999999999999" customHeight="1">
      <c r="A105" s="109" t="s">
        <v>209</v>
      </c>
      <c r="B105" s="107"/>
      <c r="D105" s="120"/>
      <c r="E105" s="107"/>
      <c r="F105" s="119"/>
      <c r="G105" s="119"/>
      <c r="H105" s="108"/>
    </row>
    <row r="106" spans="1:10" ht="35.1" customHeight="1">
      <c r="A106" s="109"/>
      <c r="B106" s="107"/>
      <c r="F106" s="120" t="s">
        <v>142</v>
      </c>
      <c r="G106" s="107">
        <f ca="1">G102+G104</f>
        <v>963</v>
      </c>
      <c r="H106" s="108"/>
      <c r="J106" s="140" t="s">
        <v>210</v>
      </c>
    </row>
    <row r="107" spans="1:10" ht="19.149999999999999" customHeight="1">
      <c r="A107" s="109" t="s">
        <v>176</v>
      </c>
      <c r="B107" s="107"/>
      <c r="C107" s="120"/>
      <c r="D107" s="119"/>
      <c r="E107" s="119"/>
      <c r="F107" s="119"/>
      <c r="G107" s="119"/>
      <c r="H107" s="108"/>
    </row>
    <row r="108" spans="1:10" ht="19.149999999999999" customHeight="1">
      <c r="A108" s="107" t="s">
        <v>211</v>
      </c>
      <c r="B108" s="111"/>
      <c r="D108" s="120" t="s">
        <v>142</v>
      </c>
      <c r="E108" s="107">
        <f ca="1">-G106-B94-30-B95-B56</f>
        <v>-1304</v>
      </c>
      <c r="F108" s="119"/>
      <c r="G108" s="119"/>
      <c r="H108" s="108"/>
    </row>
    <row r="109" spans="1:10" ht="55.15" customHeight="1">
      <c r="A109" s="107" t="s">
        <v>212</v>
      </c>
      <c r="B109" s="107"/>
      <c r="C109" s="120"/>
      <c r="D109" s="120" t="s">
        <v>142</v>
      </c>
      <c r="E109" s="120">
        <f ca="1">B17-G106+IF(C15,B96+B56,IF(C20,B94+30+B95+B56,B97+B56))</f>
        <v>1287</v>
      </c>
      <c r="F109" s="119"/>
      <c r="G109" s="119"/>
      <c r="H109" s="108"/>
      <c r="I109" s="141"/>
    </row>
    <row r="110" spans="1:10" ht="19.149999999999999" customHeight="1">
      <c r="A110" s="107"/>
      <c r="B110" s="107"/>
      <c r="C110" s="120"/>
      <c r="D110" s="120"/>
      <c r="E110" s="120"/>
      <c r="F110" s="119"/>
      <c r="G110" s="119"/>
      <c r="H110" s="108"/>
    </row>
    <row r="111" spans="1:10" ht="19.149999999999999" customHeight="1">
      <c r="A111" s="111" t="s">
        <v>213</v>
      </c>
      <c r="B111" s="107"/>
      <c r="C111" s="120"/>
      <c r="D111" s="119"/>
      <c r="E111" s="119"/>
      <c r="F111" s="119"/>
      <c r="G111" s="119"/>
      <c r="H111" s="108"/>
      <c r="I111" s="102"/>
    </row>
    <row r="112" spans="1:10" ht="19.149999999999999" customHeight="1">
      <c r="A112" s="109" t="s">
        <v>214</v>
      </c>
      <c r="B112" s="107">
        <f ca="1">IF(C15,"-",OFFSET(井道尺寸数据!A97,0,G12,1,1))</f>
        <v>137</v>
      </c>
      <c r="C112" s="107"/>
      <c r="D112" s="119"/>
      <c r="E112" s="119" t="s">
        <v>215</v>
      </c>
      <c r="F112" s="120">
        <f>井道尺寸数据!C110</f>
        <v>65</v>
      </c>
      <c r="G112" s="119"/>
      <c r="H112" s="108"/>
      <c r="I112" s="142"/>
      <c r="J112" s="102"/>
    </row>
    <row r="113" spans="1:10" ht="19.149999999999999" customHeight="1">
      <c r="A113" s="109" t="s">
        <v>182</v>
      </c>
      <c r="B113" s="107">
        <f ca="1">B69</f>
        <v>0</v>
      </c>
      <c r="C113" s="107"/>
      <c r="D113" s="119"/>
      <c r="E113" s="119"/>
      <c r="F113" s="119"/>
      <c r="G113" s="119"/>
      <c r="H113" s="108"/>
      <c r="I113" s="102"/>
      <c r="J113" s="102"/>
    </row>
    <row r="114" spans="1:10" ht="19.149999999999999" customHeight="1">
      <c r="A114" s="109" t="s">
        <v>176</v>
      </c>
      <c r="B114" s="107"/>
      <c r="C114" s="120"/>
      <c r="D114" s="119"/>
      <c r="E114" s="119"/>
      <c r="F114" s="119"/>
      <c r="G114" s="119"/>
      <c r="H114" s="108"/>
      <c r="I114" s="102"/>
      <c r="J114" s="102"/>
    </row>
    <row r="115" spans="1:10" ht="35.1" customHeight="1">
      <c r="A115" s="109" t="s">
        <v>211</v>
      </c>
      <c r="B115" s="111"/>
      <c r="D115" s="120" t="s">
        <v>142</v>
      </c>
      <c r="E115" s="107">
        <f ca="1">IF(C15,"-",B113-B57/2-B112-B56)</f>
        <v>-993</v>
      </c>
      <c r="F115" s="119"/>
      <c r="G115" s="119"/>
      <c r="H115" s="108"/>
      <c r="I115" s="102"/>
      <c r="J115" s="102"/>
    </row>
    <row r="116" spans="1:10" ht="65.45" customHeight="1">
      <c r="A116" s="109" t="s">
        <v>212</v>
      </c>
      <c r="B116" s="107"/>
      <c r="C116" s="120"/>
      <c r="D116" s="120" t="s">
        <v>142</v>
      </c>
      <c r="E116" s="120">
        <f ca="1">IF(C15,"-",B113+B57/2+B112+IF(C20,0,F112)+B56)</f>
        <v>1058</v>
      </c>
      <c r="F116" s="119"/>
      <c r="G116" s="119"/>
      <c r="H116" s="108"/>
      <c r="I116" s="102"/>
      <c r="J116" s="102"/>
    </row>
    <row r="117" spans="1:10" ht="19.149999999999999" customHeight="1">
      <c r="A117" s="107"/>
      <c r="B117" s="107"/>
      <c r="C117" s="113"/>
      <c r="D117" s="120"/>
      <c r="E117" s="120"/>
      <c r="F117" s="119"/>
      <c r="G117" s="119"/>
      <c r="H117" s="108"/>
      <c r="I117" s="102"/>
      <c r="J117" s="102"/>
    </row>
    <row r="118" spans="1:10" ht="19.149999999999999" customHeight="1">
      <c r="A118" s="111" t="s">
        <v>216</v>
      </c>
      <c r="B118" s="107"/>
      <c r="C118" s="120"/>
      <c r="D118" s="119"/>
      <c r="E118" s="119"/>
      <c r="F118" s="119"/>
      <c r="G118" s="119"/>
      <c r="H118" s="108"/>
      <c r="J118" s="102"/>
    </row>
    <row r="119" spans="1:10" ht="19.149999999999999" customHeight="1">
      <c r="A119" s="109" t="s">
        <v>217</v>
      </c>
      <c r="B119" s="107" t="str">
        <f ca="1">OFFSET(J17,0,G12,1,1)</f>
        <v>-</v>
      </c>
      <c r="C119" s="120"/>
      <c r="D119" s="119"/>
      <c r="E119" s="119"/>
      <c r="F119" s="119"/>
      <c r="G119" s="119"/>
      <c r="H119" s="108"/>
    </row>
    <row r="120" spans="1:10" ht="19.149999999999999" customHeight="1">
      <c r="A120" s="109" t="s">
        <v>218</v>
      </c>
      <c r="B120" s="107"/>
      <c r="C120" s="120"/>
      <c r="D120" s="119"/>
      <c r="E120" s="119"/>
      <c r="F120" s="119"/>
      <c r="G120" s="119"/>
      <c r="H120" s="108"/>
    </row>
    <row r="121" spans="1:10" ht="183.75" customHeight="1">
      <c r="A121" s="109"/>
      <c r="B121" s="107"/>
      <c r="C121" s="120"/>
      <c r="D121" s="120" t="s">
        <v>142</v>
      </c>
      <c r="E121" s="120" t="b">
        <f>IF(G12="EVIN",TRUE,FALSE)</f>
        <v>0</v>
      </c>
      <c r="F121" s="119"/>
      <c r="G121" s="119"/>
      <c r="H121" s="108"/>
      <c r="I121" s="102" t="s">
        <v>219</v>
      </c>
    </row>
    <row r="122" spans="1:10" ht="19.149999999999999" customHeight="1">
      <c r="A122" s="109" t="s">
        <v>176</v>
      </c>
      <c r="B122" s="107"/>
      <c r="C122" s="120"/>
      <c r="D122" s="119"/>
      <c r="E122" s="119"/>
      <c r="F122" s="119"/>
      <c r="G122" s="119"/>
      <c r="H122" s="108"/>
    </row>
    <row r="123" spans="1:10" ht="55.15" customHeight="1">
      <c r="A123" s="107" t="s">
        <v>211</v>
      </c>
      <c r="B123" s="111"/>
      <c r="D123" s="120" t="s">
        <v>142</v>
      </c>
      <c r="E123" s="107" t="str">
        <f>IF(E13,IF(E121,-B119-B56,"-"),"-")</f>
        <v>-</v>
      </c>
      <c r="F123" s="119"/>
      <c r="G123" s="119"/>
      <c r="H123" s="108"/>
    </row>
    <row r="124" spans="1:10" ht="55.15" customHeight="1">
      <c r="A124" s="107" t="s">
        <v>212</v>
      </c>
      <c r="B124" s="107"/>
      <c r="C124" s="120"/>
      <c r="D124" s="120" t="s">
        <v>142</v>
      </c>
      <c r="E124" s="120" t="str">
        <f>IF(E13,IF(E121,"-",B119+B56),"-")</f>
        <v>-</v>
      </c>
      <c r="F124" s="119"/>
      <c r="G124" s="119"/>
      <c r="H124" s="108"/>
    </row>
    <row r="125" spans="1:10" ht="19.149999999999999" customHeight="1">
      <c r="A125" s="107"/>
      <c r="B125" s="107"/>
      <c r="C125" s="120"/>
      <c r="D125" s="120"/>
      <c r="E125" s="120"/>
      <c r="F125" s="119"/>
      <c r="G125" s="119"/>
      <c r="H125" s="108"/>
    </row>
    <row r="126" spans="1:10" ht="19.149999999999999" customHeight="1">
      <c r="A126" s="111" t="s">
        <v>220</v>
      </c>
      <c r="B126" s="107"/>
      <c r="C126" s="120"/>
      <c r="D126" s="120"/>
      <c r="E126" s="120"/>
      <c r="F126" s="119"/>
      <c r="G126" s="119"/>
      <c r="H126" s="108"/>
    </row>
    <row r="127" spans="1:10" ht="19.149999999999999" customHeight="1">
      <c r="A127" s="109" t="s">
        <v>176</v>
      </c>
      <c r="B127" s="107"/>
      <c r="C127" s="120"/>
      <c r="D127" s="120"/>
      <c r="E127" s="120"/>
      <c r="F127" s="119"/>
      <c r="G127" s="119"/>
      <c r="H127" s="108"/>
    </row>
    <row r="128" spans="1:10" ht="19.149999999999999" customHeight="1">
      <c r="A128" s="136" t="s">
        <v>211</v>
      </c>
      <c r="C128" s="113" t="s">
        <v>221</v>
      </c>
      <c r="D128" s="120" t="s">
        <v>142</v>
      </c>
      <c r="E128" s="120">
        <f ca="1">MIN(E108,E115,E123)</f>
        <v>-1304</v>
      </c>
      <c r="F128" s="119"/>
      <c r="G128" s="119"/>
      <c r="H128" s="108"/>
    </row>
    <row r="129" spans="1:11" ht="19.149999999999999" customHeight="1">
      <c r="A129" s="136" t="s">
        <v>212</v>
      </c>
      <c r="B129" s="107"/>
      <c r="C129" s="113" t="s">
        <v>222</v>
      </c>
      <c r="D129" s="120" t="s">
        <v>142</v>
      </c>
      <c r="E129" s="120">
        <f ca="1">MAX(E109,E116,E124)</f>
        <v>1287</v>
      </c>
      <c r="F129" s="119"/>
      <c r="G129" s="119"/>
      <c r="H129" s="108"/>
    </row>
    <row r="130" spans="1:11" ht="19.149999999999999" customHeight="1">
      <c r="A130" s="109" t="s">
        <v>223</v>
      </c>
      <c r="B130" s="107"/>
      <c r="C130" s="120"/>
      <c r="E130" s="120"/>
      <c r="F130" s="119"/>
      <c r="G130" s="119"/>
      <c r="H130" s="108"/>
    </row>
    <row r="131" spans="1:11" ht="19.149999999999999" customHeight="1">
      <c r="A131" s="107"/>
      <c r="B131" s="137"/>
      <c r="C131" s="113" t="s">
        <v>224</v>
      </c>
      <c r="D131" s="120" t="s">
        <v>142</v>
      </c>
      <c r="E131" s="120">
        <f ca="1">ROUNDUP((E129-E128)/10,0)*10</f>
        <v>2600</v>
      </c>
      <c r="F131" s="119"/>
      <c r="G131" s="119"/>
      <c r="H131" s="108"/>
    </row>
    <row r="132" spans="1:11" ht="30.2" customHeight="1">
      <c r="A132" s="106" t="s">
        <v>225</v>
      </c>
      <c r="B132" s="107"/>
      <c r="C132" s="113"/>
      <c r="D132" s="120"/>
      <c r="E132" s="120"/>
      <c r="F132" s="119"/>
      <c r="G132" s="119"/>
      <c r="H132" s="108"/>
    </row>
    <row r="133" spans="1:11" ht="19.149999999999999" customHeight="1">
      <c r="A133" s="111" t="s">
        <v>226</v>
      </c>
      <c r="B133" s="107"/>
      <c r="C133" s="113"/>
      <c r="D133" s="120"/>
      <c r="E133" s="120"/>
      <c r="F133" s="119"/>
      <c r="G133" s="119"/>
      <c r="H133" s="108"/>
    </row>
    <row r="134" spans="1:11" ht="19.149999999999999" customHeight="1">
      <c r="A134" s="113" t="s">
        <v>227</v>
      </c>
      <c r="B134" s="107">
        <f>ABS(E81)</f>
        <v>450</v>
      </c>
      <c r="C134" s="107" t="str">
        <f>IF(B134&lt;=D134,"≤","&gt;")</f>
        <v>≤</v>
      </c>
      <c r="D134" s="120">
        <f>(B16-B19)/2</f>
        <v>450</v>
      </c>
      <c r="E134" s="24" t="s">
        <v>228</v>
      </c>
      <c r="F134" s="120" t="str">
        <f>IF(C134="≤","不干涉","干涉！")</f>
        <v>不干涉</v>
      </c>
      <c r="G134" s="143" t="b">
        <f>IF(C134="≤",FALSE,TRUE)</f>
        <v>0</v>
      </c>
      <c r="H134" s="108"/>
    </row>
    <row r="135" spans="1:11" ht="19.149999999999999" customHeight="1">
      <c r="A135" s="113" t="s">
        <v>229</v>
      </c>
      <c r="B135" s="107">
        <f>ROUNDDOWN(B16/100,0)*100</f>
        <v>2600</v>
      </c>
      <c r="C135" s="120" t="s">
        <v>230</v>
      </c>
      <c r="D135" s="120" t="s">
        <v>231</v>
      </c>
      <c r="E135" s="107"/>
      <c r="F135" s="120"/>
      <c r="G135" s="143"/>
      <c r="H135" s="108"/>
    </row>
    <row r="136" spans="1:11" ht="19.149999999999999" customHeight="1">
      <c r="A136" s="111"/>
      <c r="B136" s="107"/>
      <c r="C136" s="113"/>
      <c r="D136" s="120"/>
      <c r="E136" s="120"/>
      <c r="F136" s="119"/>
      <c r="G136" s="119"/>
      <c r="H136" s="108"/>
    </row>
    <row r="137" spans="1:11" ht="19.149999999999999" customHeight="1">
      <c r="A137" s="111" t="s">
        <v>232</v>
      </c>
      <c r="B137" s="107"/>
      <c r="C137" s="113"/>
      <c r="D137" s="120"/>
      <c r="E137" s="120"/>
      <c r="F137" s="119"/>
      <c r="G137" s="119"/>
      <c r="H137" s="108"/>
      <c r="I137" s="162" t="s">
        <v>233</v>
      </c>
    </row>
    <row r="138" spans="1:11" ht="19.149999999999999" customHeight="1">
      <c r="A138" s="113" t="s">
        <v>234</v>
      </c>
      <c r="B138" s="107">
        <f ca="1">IFERROR(E115+B56-25,"-")</f>
        <v>-1003</v>
      </c>
      <c r="C138" s="120" t="str">
        <f ca="1">IF(B138&gt;=D138,"≥","&lt;")</f>
        <v>≥</v>
      </c>
      <c r="D138" s="120">
        <f ca="1">-G106-B99</f>
        <v>-1003</v>
      </c>
      <c r="E138" s="104" t="s">
        <v>235</v>
      </c>
      <c r="F138" s="120" t="str">
        <f ca="1">IF(C138="≥","不干涉","干涉！")</f>
        <v>不干涉</v>
      </c>
      <c r="G138" s="143" t="b">
        <f ca="1">IF(C138="≥",FALSE,TRUE)</f>
        <v>0</v>
      </c>
      <c r="H138" s="108"/>
      <c r="I138" s="142"/>
    </row>
    <row r="139" spans="1:11" ht="19.149999999999999" customHeight="1">
      <c r="A139" s="113" t="s">
        <v>236</v>
      </c>
      <c r="B139" s="107">
        <f ca="1">IFERROR(E116-B56+25,"-")</f>
        <v>1068</v>
      </c>
      <c r="C139" s="120" t="str">
        <f ca="1">IF(B139&lt;=D139,"≤","&gt;")</f>
        <v>≤</v>
      </c>
      <c r="D139" s="120" t="str">
        <f>IF(C20,B17-G106+B99,"-")</f>
        <v>-</v>
      </c>
      <c r="E139" s="144" t="s">
        <v>237</v>
      </c>
      <c r="F139" s="120" t="str">
        <f ca="1">IF(C139="≤","不干涉","干涉！")</f>
        <v>不干涉</v>
      </c>
      <c r="G139" s="143" t="b">
        <f ca="1">IF(C139="≤",FALSE,TRUE)</f>
        <v>0</v>
      </c>
      <c r="H139" s="108"/>
      <c r="I139" s="102"/>
    </row>
    <row r="140" spans="1:11" ht="19.149999999999999" customHeight="1">
      <c r="A140" s="111" t="s">
        <v>238</v>
      </c>
      <c r="B140" s="107"/>
      <c r="C140" s="120"/>
      <c r="D140" s="120"/>
      <c r="E140" s="104"/>
      <c r="F140" s="119"/>
      <c r="G140" s="120"/>
      <c r="H140" s="108"/>
      <c r="I140" s="102"/>
    </row>
    <row r="141" spans="1:11" ht="19.149999999999999" customHeight="1">
      <c r="A141" s="107"/>
      <c r="B141" s="107"/>
      <c r="C141" s="145" t="s">
        <v>239</v>
      </c>
      <c r="D141" s="120" t="s">
        <v>142</v>
      </c>
      <c r="E141" s="120">
        <f ca="1">IF(G141,ROUNDUP(MAX(2*ABS(IF(G138,(-B138+D138),0)),IF(AND(C20,G139),2*ABS((B139-D139)),0))/50,0)*50,0)+B17</f>
        <v>2150</v>
      </c>
      <c r="F141" s="119"/>
      <c r="G141" s="146" t="b">
        <f ca="1">OR(G138,G139)</f>
        <v>0</v>
      </c>
      <c r="H141" s="147" t="s">
        <v>240</v>
      </c>
      <c r="I141" s="102"/>
      <c r="K141" s="142"/>
    </row>
    <row r="142" spans="1:11" ht="19.149999999999999" customHeight="1">
      <c r="A142" s="111" t="s">
        <v>241</v>
      </c>
      <c r="B142" s="107"/>
      <c r="C142" s="113"/>
      <c r="D142" s="120"/>
      <c r="E142" s="120"/>
      <c r="F142" s="119"/>
      <c r="G142" s="146"/>
      <c r="H142" s="147"/>
      <c r="I142" s="102"/>
      <c r="J142" s="140">
        <f ca="1">-1*ROUNDDOWN(MIN(2*ABS(B138-D138),IF(C20,2*ABS(-B139+D139),2*ABS(B138-D138)))/50,0)*50</f>
        <v>0</v>
      </c>
    </row>
    <row r="143" spans="1:11" ht="19.149999999999999" customHeight="1">
      <c r="A143" s="113" t="s">
        <v>242</v>
      </c>
      <c r="B143" s="107">
        <f>B23-B24</f>
        <v>100</v>
      </c>
      <c r="C143" s="107" t="str">
        <f>IF(AND(B143&lt;=300,B143&gt;=100),"是","否")</f>
        <v>是</v>
      </c>
      <c r="D143" s="120" t="s">
        <v>243</v>
      </c>
      <c r="E143" s="143"/>
      <c r="G143" s="107" t="str">
        <f>IF(OR(B12="LTHX",B12="LTHX Car",B12="LTHW",B12="LTHW Car"),IF(AND(B143&lt;=300,B143&gt;=100),"",IF(B143&lt;100,"请增大轿厢高或减小开门高!","请减小轿厢高或增大开门高!")),IF(B143&gt;=50,"","请增大轿厢高或减小开门高!"))</f>
        <v/>
      </c>
      <c r="H143" s="147"/>
      <c r="I143" s="102"/>
    </row>
    <row r="144" spans="1:11" ht="19.149999999999999" customHeight="1">
      <c r="A144" s="113" t="s">
        <v>244</v>
      </c>
      <c r="B144" s="107">
        <f>B16</f>
        <v>2600</v>
      </c>
      <c r="C144" s="107" t="str">
        <f ca="1">IF(B144&gt;=D144,"≥","&lt;")</f>
        <v>≥</v>
      </c>
      <c r="D144" s="120">
        <f ca="1">OFFSET(井道尺寸数据!B114,1,G12)</f>
        <v>1800</v>
      </c>
      <c r="E144" s="143"/>
      <c r="F144" s="146" t="b">
        <f ca="1">IF(C144="≥",FALSE,TRUE)</f>
        <v>0</v>
      </c>
      <c r="G144" s="134" t="str">
        <f ca="1">IF(F144,"请增大轿厢宽度！","")</f>
        <v/>
      </c>
      <c r="H144" s="147"/>
      <c r="I144" s="102"/>
    </row>
    <row r="145" spans="1:20" ht="19.149999999999999" customHeight="1">
      <c r="A145" s="113" t="s">
        <v>245</v>
      </c>
      <c r="B145" s="107">
        <f>B17</f>
        <v>2150</v>
      </c>
      <c r="C145" s="107" t="str">
        <f ca="1">IF(B145&gt;=D145,"≥","&lt;")</f>
        <v>≥</v>
      </c>
      <c r="D145" s="120">
        <f ca="1">OFFSET(井道尺寸数据!B114,3,G12)</f>
        <v>1600</v>
      </c>
      <c r="E145" s="143"/>
      <c r="F145" s="146" t="b">
        <f ca="1">IF(C145="≥",FALSE,TRUE)</f>
        <v>0</v>
      </c>
      <c r="G145" s="134" t="str">
        <f ca="1">IF(F145,"请增大轿厢深度！","")</f>
        <v/>
      </c>
      <c r="H145" s="147"/>
      <c r="I145" s="102"/>
    </row>
    <row r="146" spans="1:20" ht="19.149999999999999" customHeight="1">
      <c r="A146" s="113" t="s">
        <v>246</v>
      </c>
      <c r="B146" s="107">
        <f>B24</f>
        <v>2100</v>
      </c>
      <c r="C146" s="107" t="str">
        <f>IF(B146&gt;=D146,"≥","&lt;")</f>
        <v>≥</v>
      </c>
      <c r="D146" s="120">
        <v>2000</v>
      </c>
      <c r="E146" s="143"/>
      <c r="F146" s="146" t="b">
        <f>IF(C146="≥",FALSE,TRUE)</f>
        <v>0</v>
      </c>
      <c r="G146" s="134" t="str">
        <f>IF(F146,"请增大开门高度！","")</f>
        <v/>
      </c>
      <c r="H146" s="147"/>
      <c r="I146" s="102"/>
    </row>
    <row r="147" spans="1:20" ht="19.149999999999999" customHeight="1">
      <c r="A147" s="111" t="s">
        <v>247</v>
      </c>
      <c r="B147" s="107"/>
      <c r="C147" s="107"/>
      <c r="D147" s="120"/>
      <c r="E147" s="143"/>
      <c r="F147" s="146"/>
      <c r="G147" s="146"/>
      <c r="H147" s="147"/>
      <c r="I147" s="102"/>
    </row>
    <row r="148" spans="1:20" ht="19.149999999999999" customHeight="1">
      <c r="A148" s="113" t="s">
        <v>248</v>
      </c>
      <c r="B148" s="107">
        <f>B24+500</f>
        <v>2600</v>
      </c>
      <c r="C148" s="113"/>
      <c r="D148" s="120"/>
      <c r="E148" s="120"/>
      <c r="F148" s="119"/>
      <c r="G148" s="146"/>
      <c r="H148" s="147"/>
      <c r="I148" s="102"/>
      <c r="J148" s="102"/>
    </row>
    <row r="149" spans="1:20" ht="30.2" customHeight="1">
      <c r="A149" s="106" t="s">
        <v>249</v>
      </c>
      <c r="B149" s="107"/>
      <c r="C149" s="113"/>
      <c r="D149" s="120"/>
      <c r="E149" s="120"/>
      <c r="F149" s="119"/>
      <c r="G149" s="119"/>
      <c r="H149" s="108"/>
      <c r="J149" s="288" t="s">
        <v>250</v>
      </c>
      <c r="K149" s="288"/>
      <c r="L149" s="19">
        <f>MATCH($B$12,K151:P151,0)</f>
        <v>3</v>
      </c>
      <c r="M149" s="24"/>
      <c r="N149" s="24"/>
      <c r="O149" s="24"/>
      <c r="P149" s="24"/>
    </row>
    <row r="150" spans="1:20" ht="19.149999999999999" customHeight="1">
      <c r="A150" s="289" t="s">
        <v>251</v>
      </c>
      <c r="B150" s="290"/>
      <c r="C150" s="289" t="s">
        <v>252</v>
      </c>
      <c r="D150" s="290"/>
      <c r="E150" s="290"/>
      <c r="F150" s="290"/>
      <c r="G150" s="290"/>
      <c r="H150" s="112"/>
      <c r="J150" s="163" t="s">
        <v>253</v>
      </c>
      <c r="K150" s="129">
        <v>1</v>
      </c>
      <c r="L150" s="129">
        <v>2</v>
      </c>
      <c r="M150" s="129">
        <v>3</v>
      </c>
      <c r="N150" s="129">
        <v>4</v>
      </c>
      <c r="O150" s="129">
        <v>5</v>
      </c>
      <c r="P150" s="129">
        <v>6</v>
      </c>
      <c r="Q150" s="129">
        <v>7</v>
      </c>
      <c r="R150" s="129">
        <v>8</v>
      </c>
      <c r="S150" s="129">
        <v>9</v>
      </c>
      <c r="T150" s="129">
        <v>10</v>
      </c>
    </row>
    <row r="151" spans="1:20" ht="19.149999999999999" customHeight="1">
      <c r="A151" s="148" t="s">
        <v>254</v>
      </c>
      <c r="B151" s="149">
        <f t="shared" ref="B151:B160" ca="1" si="0">OFFSET(J153,0,$L$149,1,1)</f>
        <v>60</v>
      </c>
      <c r="C151" s="148" t="s">
        <v>255</v>
      </c>
      <c r="E151" s="150"/>
      <c r="F151" s="151"/>
      <c r="G151" s="152">
        <f t="shared" ref="G151:G157" si="1">B14</f>
        <v>20</v>
      </c>
      <c r="H151" s="112"/>
      <c r="J151" s="163" t="s">
        <v>103</v>
      </c>
      <c r="K151" s="129" t="str">
        <f>K12</f>
        <v>LTHX</v>
      </c>
      <c r="L151" s="129" t="str">
        <f t="shared" ref="L151:T151" si="2">L12</f>
        <v>LTHX Car</v>
      </c>
      <c r="M151" s="129" t="str">
        <f t="shared" si="2"/>
        <v>LTHW</v>
      </c>
      <c r="N151" s="129" t="str">
        <f t="shared" si="2"/>
        <v>LTHW Car</v>
      </c>
      <c r="O151" s="129" t="str">
        <f t="shared" si="2"/>
        <v>EVIK</v>
      </c>
      <c r="P151" s="129" t="str">
        <f t="shared" si="2"/>
        <v>EVIN</v>
      </c>
      <c r="Q151" s="129" t="str">
        <f t="shared" si="2"/>
        <v>LTK</v>
      </c>
      <c r="R151" s="129" t="str">
        <f t="shared" si="2"/>
        <v>预留</v>
      </c>
      <c r="S151" s="129" t="str">
        <f t="shared" si="2"/>
        <v>预留</v>
      </c>
      <c r="T151" s="129" t="str">
        <f t="shared" si="2"/>
        <v>预留</v>
      </c>
    </row>
    <row r="152" spans="1:20" ht="19.149999999999999" customHeight="1">
      <c r="A152" s="148" t="s">
        <v>256</v>
      </c>
      <c r="B152" s="149" t="str">
        <f t="shared" ca="1" si="0"/>
        <v>SIDE</v>
      </c>
      <c r="C152" s="148" t="s">
        <v>256</v>
      </c>
      <c r="E152" s="150"/>
      <c r="F152" s="151"/>
      <c r="G152" s="152" t="str">
        <f t="shared" si="1"/>
        <v>SIDE</v>
      </c>
      <c r="H152" s="112"/>
      <c r="J152" s="163" t="s">
        <v>257</v>
      </c>
      <c r="K152" s="164" t="str">
        <f>标准配置!V1</f>
        <v>Ver.2023-05-05</v>
      </c>
      <c r="L152" s="164" t="str">
        <f>标准配置!AE1</f>
        <v>Ver.X</v>
      </c>
      <c r="M152" s="164" t="str">
        <f>标准配置!AN1</f>
        <v>Ver.2023-05-05</v>
      </c>
      <c r="N152" s="164" t="str">
        <f>标准配置!AW1</f>
        <v>Ver.X</v>
      </c>
      <c r="O152" s="165" t="str">
        <f>标准配置!BI1</f>
        <v>Ver.2023-11-10</v>
      </c>
      <c r="P152" s="165" t="str">
        <f>标准配置!BU1</f>
        <v>Ver.2023-11-30</v>
      </c>
      <c r="Q152" s="164" t="str">
        <f>标准配置!CE1</f>
        <v>Ver.2023-05-05</v>
      </c>
      <c r="R152" s="164"/>
      <c r="S152" s="164"/>
      <c r="T152" s="164"/>
    </row>
    <row r="153" spans="1:20" ht="19.149999999999999" customHeight="1">
      <c r="A153" s="148" t="s">
        <v>258</v>
      </c>
      <c r="B153" s="149">
        <f t="shared" ca="1" si="0"/>
        <v>2200</v>
      </c>
      <c r="C153" s="148" t="s">
        <v>259</v>
      </c>
      <c r="E153" s="150"/>
      <c r="F153" s="151"/>
      <c r="G153" s="152">
        <f t="shared" si="1"/>
        <v>2600</v>
      </c>
      <c r="H153" s="112"/>
      <c r="J153" s="163" t="s">
        <v>260</v>
      </c>
      <c r="K153" s="13">
        <f ca="1">OFFSET(标准配置!N3,MATCH($B$13,标准配置!N4:N8,0),MATCH($B$22,标准配置!O3:W3,0),1,1)</f>
        <v>60</v>
      </c>
      <c r="L153" s="13">
        <f ca="1">OFFSET(标准配置!Y3,MATCH($B$13,标准配置!Y4:Y7,0),MATCH($B$22,标准配置!Z3:AF3,0),1,1)</f>
        <v>60</v>
      </c>
      <c r="M153" s="13">
        <f ca="1">OFFSET(标准配置!AH3,MATCH($B$13,标准配置!$AH$4:$AH$9,0),MATCH($B$22,标准配置!$AI$3:$AO$3,0),1,1)</f>
        <v>60</v>
      </c>
      <c r="N153" s="13">
        <f ca="1">OFFSET(标准配置!AQ3,MATCH($B$13,标准配置!AQ4:AQ5,0),MATCH($B$22,标准配置!AR3:AT3,0),1,1)</f>
        <v>60</v>
      </c>
      <c r="O153" s="13" t="e">
        <f ca="1">OFFSET(标准配置!BA3,MATCH($B$13,标准配置!BA4:BA9,0),MATCH($B$22,标准配置!BB3:BK3,0),1,1)</f>
        <v>#N/A</v>
      </c>
      <c r="P153" s="13" t="e">
        <f ca="1">OFFSET(标准配置!BM3,MATCH($B$13,标准配置!BM4:BM9,0),MATCH($B$22,标准配置!BN3:BV3,0),1,1)</f>
        <v>#N/A</v>
      </c>
      <c r="Q153" s="13" t="e">
        <f ca="1">OFFSET(标准配置!BX3,MATCH($B$13,标准配置!BX4:BX8,0),MATCH($B$22,标准配置!BY3:CF3,0),1,1)</f>
        <v>#N/A</v>
      </c>
      <c r="R153" s="13"/>
      <c r="S153" s="13"/>
      <c r="T153" s="13"/>
    </row>
    <row r="154" spans="1:20" ht="19.149999999999999" customHeight="1">
      <c r="A154" s="148" t="s">
        <v>261</v>
      </c>
      <c r="B154" s="149">
        <f t="shared" ca="1" si="0"/>
        <v>2500</v>
      </c>
      <c r="C154" s="148" t="s">
        <v>262</v>
      </c>
      <c r="E154" s="150"/>
      <c r="F154" s="151"/>
      <c r="G154" s="152">
        <f t="shared" si="1"/>
        <v>2150</v>
      </c>
      <c r="H154" s="112"/>
      <c r="J154" s="163" t="s">
        <v>263</v>
      </c>
      <c r="K154" s="13" t="str">
        <f t="shared" ref="K154:Q154" si="3">$B$15</f>
        <v>SIDE</v>
      </c>
      <c r="L154" s="13" t="str">
        <f t="shared" si="3"/>
        <v>SIDE</v>
      </c>
      <c r="M154" s="13" t="str">
        <f t="shared" si="3"/>
        <v>SIDE</v>
      </c>
      <c r="N154" s="13" t="str">
        <f t="shared" si="3"/>
        <v>SIDE</v>
      </c>
      <c r="O154" s="13" t="str">
        <f t="shared" si="3"/>
        <v>SIDE</v>
      </c>
      <c r="P154" s="13" t="str">
        <f t="shared" si="3"/>
        <v>SIDE</v>
      </c>
      <c r="Q154" s="13" t="str">
        <f t="shared" si="3"/>
        <v>SIDE</v>
      </c>
      <c r="R154" s="13"/>
      <c r="S154" s="13"/>
      <c r="T154" s="13"/>
    </row>
    <row r="155" spans="1:20" ht="19.149999999999999" customHeight="1">
      <c r="A155" s="148" t="s">
        <v>264</v>
      </c>
      <c r="B155" s="149" t="str">
        <f t="shared" ca="1" si="0"/>
        <v>S2</v>
      </c>
      <c r="C155" s="148" t="s">
        <v>264</v>
      </c>
      <c r="E155" s="150"/>
      <c r="F155" s="151"/>
      <c r="G155" s="152" t="str">
        <f t="shared" si="1"/>
        <v>S2</v>
      </c>
      <c r="H155" s="112"/>
      <c r="J155" s="163" t="s">
        <v>265</v>
      </c>
      <c r="K155" s="13">
        <f ca="1">K20</f>
        <v>2200</v>
      </c>
      <c r="L155" s="13">
        <f t="shared" ref="L155:T155" ca="1" si="4">L20</f>
        <v>2500</v>
      </c>
      <c r="M155" s="13">
        <f t="shared" ca="1" si="4"/>
        <v>2200</v>
      </c>
      <c r="N155" s="13">
        <f t="shared" ca="1" si="4"/>
        <v>2500</v>
      </c>
      <c r="O155" s="13" t="e">
        <f t="shared" ca="1" si="4"/>
        <v>#N/A</v>
      </c>
      <c r="P155" s="13" t="e">
        <f t="shared" ca="1" si="4"/>
        <v>#N/A</v>
      </c>
      <c r="Q155" s="13" t="e">
        <f t="shared" ca="1" si="4"/>
        <v>#N/A</v>
      </c>
      <c r="R155" s="13">
        <f t="shared" si="4"/>
        <v>0</v>
      </c>
      <c r="S155" s="13">
        <f t="shared" si="4"/>
        <v>0</v>
      </c>
      <c r="T155" s="13">
        <f t="shared" si="4"/>
        <v>0</v>
      </c>
    </row>
    <row r="156" spans="1:20" ht="19.149999999999999" customHeight="1">
      <c r="A156" s="148" t="s">
        <v>266</v>
      </c>
      <c r="B156" s="149">
        <f t="shared" ca="1" si="0"/>
        <v>1800</v>
      </c>
      <c r="C156" s="148" t="s">
        <v>267</v>
      </c>
      <c r="E156" s="150"/>
      <c r="F156" s="151"/>
      <c r="G156" s="152">
        <f t="shared" si="1"/>
        <v>1700</v>
      </c>
      <c r="H156" s="112"/>
      <c r="J156" s="163" t="s">
        <v>268</v>
      </c>
      <c r="K156" s="13">
        <f ca="1">K21</f>
        <v>2500</v>
      </c>
      <c r="L156" s="13">
        <f t="shared" ref="L156:T156" ca="1" si="5">L21</f>
        <v>5900</v>
      </c>
      <c r="M156" s="13">
        <f t="shared" ca="1" si="5"/>
        <v>2500</v>
      </c>
      <c r="N156" s="13">
        <f t="shared" ca="1" si="5"/>
        <v>5900</v>
      </c>
      <c r="O156" s="13" t="e">
        <f t="shared" ca="1" si="5"/>
        <v>#N/A</v>
      </c>
      <c r="P156" s="13" t="e">
        <f t="shared" ca="1" si="5"/>
        <v>#N/A</v>
      </c>
      <c r="Q156" s="13" t="e">
        <f t="shared" ca="1" si="5"/>
        <v>#N/A</v>
      </c>
      <c r="R156" s="13">
        <f t="shared" si="5"/>
        <v>0</v>
      </c>
      <c r="S156" s="13">
        <f t="shared" si="5"/>
        <v>0</v>
      </c>
      <c r="T156" s="13">
        <f t="shared" si="5"/>
        <v>0</v>
      </c>
    </row>
    <row r="157" spans="1:20" ht="19.149999999999999" customHeight="1">
      <c r="A157" s="148" t="s">
        <v>269</v>
      </c>
      <c r="B157" s="149" t="str">
        <f t="shared" ca="1" si="0"/>
        <v>No</v>
      </c>
      <c r="C157" s="148" t="s">
        <v>269</v>
      </c>
      <c r="E157" s="150"/>
      <c r="F157" s="151"/>
      <c r="G157" s="152" t="str">
        <f t="shared" si="1"/>
        <v>No</v>
      </c>
      <c r="H157" s="112"/>
      <c r="J157" s="163" t="s">
        <v>270</v>
      </c>
      <c r="K157" s="13" t="str">
        <f ca="1">OFFSET(标准配置!$N$79,MATCH(K154,标准配置!$N$80:$N$81,0),MATCH($B$22,标准配置!$O$79:$S$79,0))</f>
        <v>S2</v>
      </c>
      <c r="L157" s="13" t="s">
        <v>36</v>
      </c>
      <c r="M157" s="13" t="str">
        <f ca="1">OFFSET(标准配置!$AH$79,MATCH(M154,标准配置!$AH$80:$AH$81,0),MATCH($B$22,标准配置!$AI$79:$AO$79,0))</f>
        <v>S2</v>
      </c>
      <c r="N157" s="13" t="s">
        <v>36</v>
      </c>
      <c r="O157" s="13" t="e">
        <f ca="1">OFFSET(标准配置!BA79,MATCH(O154,标准配置!BA80:BA81,0),MATCH($B$22,标准配置!BB79:BK79,0))</f>
        <v>#N/A</v>
      </c>
      <c r="P157" s="13" t="e">
        <f ca="1">OFFSET(标准配置!BM79,MATCH(P154,标准配置!BM80:BM81,0),MATCH($B$22,标准配置!BN79:BV79,0))</f>
        <v>#N/A</v>
      </c>
      <c r="Q157" s="13" t="e">
        <f ca="1">OFFSET(标准配置!BX79,MATCH(Q154,标准配置!BX80:BX81,0),MATCH($B$22,标准配置!BY79:CF79,0))</f>
        <v>#N/A</v>
      </c>
      <c r="R157" s="13"/>
      <c r="S157" s="13"/>
      <c r="T157" s="13"/>
    </row>
    <row r="158" spans="1:20" ht="19.149999999999999" customHeight="1">
      <c r="A158" s="148" t="s">
        <v>271</v>
      </c>
      <c r="B158" s="149" t="str">
        <f t="shared" ca="1" si="0"/>
        <v>Offset</v>
      </c>
      <c r="C158" s="148" t="s">
        <v>271</v>
      </c>
      <c r="E158" s="150"/>
      <c r="F158" s="151"/>
      <c r="G158" s="152" t="str">
        <f t="shared" ref="G158" si="6">B21</f>
        <v>Offset</v>
      </c>
      <c r="H158" s="112"/>
      <c r="J158" s="163" t="s">
        <v>272</v>
      </c>
      <c r="K158" s="13">
        <f ca="1">OFFSET(标准配置!N32,MATCH(K154,标准配置!$N$23:$N$24,0),MATCH($B$22,标准配置!$O$22:$W$22,0),1,1)</f>
        <v>1800</v>
      </c>
      <c r="L158" s="13">
        <f ca="1">OFFSET(标准配置!Y32,1,MATCH($B$22,标准配置!Z32:AF32,0),1,1)</f>
        <v>2500</v>
      </c>
      <c r="M158" s="13">
        <f ca="1">OFFSET(标准配置!AH32,MATCH(M154,标准配置!$AH$23:$AH$24,0),MATCH($B$22,标准配置!$AI$22:$AO$22,0),1,1)</f>
        <v>1800</v>
      </c>
      <c r="N158" s="13">
        <f ca="1">OFFSET(标准配置!AQ32,1,MATCH($B$22,标准配置!AR32:AT32,0),1,1)</f>
        <v>2500</v>
      </c>
      <c r="O158" s="13" t="e">
        <f ca="1">OFFSET(标准配置!BA32,MATCH(O154,标准配置!BA33:BA34,0),MATCH($B$22,标准配置!BB32:BK32,0),1,1)</f>
        <v>#N/A</v>
      </c>
      <c r="P158" s="13" t="e">
        <f ca="1">OFFSET(标准配置!BM32,MATCH(P154,标准配置!BM33:BM34,0),MATCH($B$22,标准配置!BN32:BV32,0),1,1)</f>
        <v>#N/A</v>
      </c>
      <c r="Q158" s="13" t="e">
        <f ca="1">OFFSET(标准配置!BX32,MATCH(Q154,标准配置!$BX$33:$BX$34,0),MATCH($B$22,标准配置!$BY$22:$CF$22,0),1,1)</f>
        <v>#N/A</v>
      </c>
      <c r="R158" s="13"/>
      <c r="S158" s="13"/>
      <c r="T158" s="13"/>
    </row>
    <row r="159" spans="1:20" ht="19.149999999999999" customHeight="1">
      <c r="A159" s="148" t="s">
        <v>273</v>
      </c>
      <c r="B159" s="149">
        <f t="shared" ca="1" si="0"/>
        <v>3400</v>
      </c>
      <c r="C159" s="148" t="s">
        <v>274</v>
      </c>
      <c r="E159" s="150"/>
      <c r="F159" s="151"/>
      <c r="G159" s="152">
        <f ca="1">E91</f>
        <v>3830</v>
      </c>
      <c r="H159" s="112"/>
      <c r="J159" s="163" t="s">
        <v>275</v>
      </c>
      <c r="K159" s="19" t="s">
        <v>20</v>
      </c>
      <c r="L159" s="19" t="s">
        <v>95</v>
      </c>
      <c r="M159" s="19" t="s">
        <v>20</v>
      </c>
      <c r="N159" s="19" t="s">
        <v>95</v>
      </c>
      <c r="O159" s="19" t="s">
        <v>20</v>
      </c>
      <c r="P159" s="19" t="s">
        <v>20</v>
      </c>
      <c r="Q159" s="19" t="s">
        <v>20</v>
      </c>
      <c r="R159" s="19"/>
      <c r="S159" s="19"/>
      <c r="T159" s="19"/>
    </row>
    <row r="160" spans="1:20" ht="19.149999999999999" customHeight="1">
      <c r="A160" s="153" t="s">
        <v>276</v>
      </c>
      <c r="B160" s="149">
        <f t="shared" ca="1" si="0"/>
        <v>2950</v>
      </c>
      <c r="C160" s="148" t="s">
        <v>277</v>
      </c>
      <c r="E160" s="150"/>
      <c r="F160" s="151"/>
      <c r="G160" s="152">
        <f ca="1">E131</f>
        <v>2600</v>
      </c>
      <c r="H160" s="112"/>
      <c r="J160" s="163" t="s">
        <v>278</v>
      </c>
      <c r="K160" s="19" t="str">
        <f ca="1">OFFSET(标准配置!N84,MATCH(K154,标准配置!N85:N86,0),MATCH($B$22,标准配置!O84:W84,0),1,1)</f>
        <v>Offset</v>
      </c>
      <c r="L160" s="19">
        <v>0</v>
      </c>
      <c r="M160" s="19" t="str">
        <f ca="1">OFFSET(标准配置!AH84,MATCH(M154,标准配置!AH85:AH86,0),MATCH($B$22,标准配置!AI84:AO84,0),1,1)</f>
        <v>Offset</v>
      </c>
      <c r="N160" s="19">
        <v>0</v>
      </c>
      <c r="O160" s="19" t="e">
        <f ca="1">OFFSET(标准配置!BA84,MATCH(O154,标准配置!BA85:BA86,0),MATCH($B$22,标准配置!BB84:BK84,0),1,1)</f>
        <v>#N/A</v>
      </c>
      <c r="P160" s="19" t="e">
        <f ca="1">OFFSET(标准配置!BM84,MATCH(P154,标准配置!BM85:BM86,0),MATCH($B$22,标准配置!BN84:BV84,0),1,1)</f>
        <v>#N/A</v>
      </c>
      <c r="Q160" s="19" t="e">
        <f ca="1">OFFSET(标准配置!BX84,MATCH(Q154,标准配置!BX85:BX86,0),MATCH($B$22,标准配置!BY84:CF84,0),1,1)</f>
        <v>#N/A</v>
      </c>
      <c r="R160" s="19"/>
      <c r="S160" s="19"/>
      <c r="T160" s="19"/>
    </row>
    <row r="161" spans="1:20" ht="19.149999999999999" customHeight="1">
      <c r="A161" s="153" t="s">
        <v>279</v>
      </c>
      <c r="B161" s="149">
        <f ca="1">MAX(OFFSET(标准配置!A3,0,$L$149,14,1))</f>
        <v>5000</v>
      </c>
      <c r="C161" s="148" t="s">
        <v>280</v>
      </c>
      <c r="E161" s="150"/>
      <c r="F161" s="151"/>
      <c r="G161" s="154">
        <f ca="1">C46</f>
        <v>3000</v>
      </c>
      <c r="H161" s="112"/>
      <c r="J161" s="163" t="s">
        <v>281</v>
      </c>
      <c r="K161" s="13">
        <f ca="1">OFFSET(标准配置!N37,MATCH(K154,标准配置!$N$23:$N$24,0),MATCH($B$22,标准配置!$O$22:$W$22,0),1,1)</f>
        <v>3150</v>
      </c>
      <c r="L161" s="13" t="str">
        <f ca="1">OFFSET(标准配置!Y37,MATCH(L154,标准配置!Y38:Y39,0),MATCH($B$22,标准配置!Z37:AF37,0),1,1)</f>
        <v>-</v>
      </c>
      <c r="M161" s="13">
        <f ca="1">OFFSET(标准配置!AH37,MATCH(M154,标准配置!$AH$23:$AH$24,0),MATCH($B$22,标准配置!$AI$22:$AO$22,0),1,1)</f>
        <v>3400</v>
      </c>
      <c r="N161" s="13" t="str">
        <f ca="1">OFFSET(标准配置!AQ37,MATCH(N154,标准配置!AQ38:AQ39,0),MATCH($B$22,标准配置!AR37:AX37,0),1,1)</f>
        <v>-</v>
      </c>
      <c r="O161" s="13" t="e">
        <f ca="1">OFFSET(标准配置!BA37,MATCH(O154,标准配置!BA38:BA39,0),MATCH($B$22,标准配置!BB37:BK37,0),1,1)</f>
        <v>#N/A</v>
      </c>
      <c r="P161" s="13" t="e">
        <f ca="1">OFFSET(标准配置!BM37,MATCH(P154,标准配置!BM38:BM39,0),MATCH($B$22,标准配置!BN37:BV37,0),1,1)</f>
        <v>#N/A</v>
      </c>
      <c r="Q161" s="13" t="e">
        <f ca="1">OFFSET(标准配置!BX37,MATCH(Q154,标准配置!$BX$23:$BX$24,0),MATCH($B$22,标准配置!$BY$22:$CF$22,0),1,1)</f>
        <v>#N/A</v>
      </c>
      <c r="R161" s="13"/>
      <c r="S161" s="13"/>
      <c r="T161" s="13"/>
    </row>
    <row r="162" spans="1:20" ht="19.149999999999999" customHeight="1">
      <c r="A162" s="153" t="s">
        <v>282</v>
      </c>
      <c r="B162" s="149">
        <f ca="1">MIN(OFFSET(标准配置!A3,0,$L$149,10,1))</f>
        <v>1600</v>
      </c>
      <c r="C162" s="153"/>
      <c r="E162" s="150"/>
      <c r="F162" s="151"/>
      <c r="G162" s="152"/>
      <c r="H162" s="112"/>
      <c r="J162" s="163" t="s">
        <v>283</v>
      </c>
      <c r="K162" s="13">
        <f ca="1">OFFSET(标准配置!N45,MATCH(K154,标准配置!$N$23:$N$24,0),MATCH($B$22,标准配置!$O$22:$W$22,0),1,1)</f>
        <v>2950</v>
      </c>
      <c r="L162" s="13" t="str">
        <f ca="1">OFFSET(标准配置!Y45,MATCH(L154,标准配置!Y46:Y47,0),MATCH($B$22,标准配置!Z45:AF45,0),1,1)</f>
        <v>-</v>
      </c>
      <c r="M162" s="13">
        <f ca="1">OFFSET(标准配置!AH45,MATCH(M154,标准配置!$AH$23:$AH$24,0),MATCH($B$22,标准配置!$AI$22:$AO$22,0),1,1)</f>
        <v>2950</v>
      </c>
      <c r="N162" s="13" t="str">
        <f ca="1">OFFSET(标准配置!AQ45,MATCH(N154,标准配置!AQ46:AQ47,0),MATCH($B$22,标准配置!AR45:AX45,0),1,1)</f>
        <v>-</v>
      </c>
      <c r="O162" s="13" t="e">
        <f ca="1">OFFSET(标准配置!BA45,MATCH(O154,标准配置!BA46:BA47,0),MATCH($B$22,标准配置!BB45:BK45,0),1,1)</f>
        <v>#N/A</v>
      </c>
      <c r="P162" s="13" t="e">
        <f ca="1">OFFSET(标准配置!BM45,MATCH(P154,标准配置!BM46:BM47,0),MATCH($B$22,标准配置!BN45:BV45,0),1,1)</f>
        <v>#N/A</v>
      </c>
      <c r="Q162" s="13" t="e">
        <f ca="1">OFFSET(标准配置!BX45,MATCH(Q154,标准配置!BX46:BX47,0),MATCH($B$22,标准配置!BY45:CF45,0),1,1)</f>
        <v>#N/A</v>
      </c>
      <c r="R162" s="13"/>
      <c r="S162" s="13"/>
      <c r="T162" s="13"/>
    </row>
    <row r="163" spans="1:20" ht="19.149999999999999" customHeight="1">
      <c r="A163" s="155" t="s">
        <v>284</v>
      </c>
      <c r="B163" s="156">
        <f ca="1">OFFSET(J163,0,$G$12,1,1)</f>
        <v>2200</v>
      </c>
      <c r="C163" s="155" t="s">
        <v>285</v>
      </c>
      <c r="D163" s="157"/>
      <c r="E163" s="158"/>
      <c r="F163" s="159"/>
      <c r="G163" s="160">
        <f>B23</f>
        <v>2200</v>
      </c>
      <c r="H163" s="112"/>
      <c r="J163" s="163" t="s">
        <v>286</v>
      </c>
      <c r="K163" s="13">
        <f>K22</f>
        <v>2200</v>
      </c>
      <c r="L163" s="13">
        <f t="shared" ref="L163:T163" si="7">L22</f>
        <v>2200</v>
      </c>
      <c r="M163" s="13">
        <f t="shared" si="7"/>
        <v>2200</v>
      </c>
      <c r="N163" s="13">
        <f t="shared" si="7"/>
        <v>2200</v>
      </c>
      <c r="O163" s="13">
        <f t="shared" ca="1" si="7"/>
        <v>2300</v>
      </c>
      <c r="P163" s="13">
        <f t="shared" ca="1" si="7"/>
        <v>2300</v>
      </c>
      <c r="Q163" s="13">
        <f t="shared" ca="1" si="7"/>
        <v>2200</v>
      </c>
      <c r="R163" s="13">
        <f t="shared" si="7"/>
        <v>0</v>
      </c>
      <c r="S163" s="13">
        <f t="shared" si="7"/>
        <v>0</v>
      </c>
      <c r="T163" s="13">
        <f t="shared" si="7"/>
        <v>0</v>
      </c>
    </row>
    <row r="164" spans="1:20" ht="19.149999999999999" customHeight="1">
      <c r="A164" s="109" t="s">
        <v>287</v>
      </c>
      <c r="B164" s="149"/>
      <c r="C164" s="153"/>
      <c r="E164" s="150"/>
      <c r="F164" s="151"/>
      <c r="G164" s="152"/>
      <c r="H164" s="112"/>
      <c r="J164" s="166" t="s">
        <v>288</v>
      </c>
      <c r="Q164" s="3"/>
      <c r="R164" s="3"/>
    </row>
    <row r="165" spans="1:20" ht="19.149999999999999" customHeight="1">
      <c r="A165" s="148" t="s">
        <v>289</v>
      </c>
      <c r="B165" s="149">
        <f ca="1">IF(Home!I18="Critical",IF(AND(G152=B152,G153&lt;=B153,IFERROR((G153-B153)&gt;-30,FALSE),G154&lt;=B154,IFERROR((G154-B154)&gt;-30,FALSE),G155=B155,G156&lt;=B156,G157=B157,G158=B158),IF(G151&lt;=B151,B159,MAX(B159,G159)),G159),G159)</f>
        <v>3830</v>
      </c>
      <c r="C165" s="148" t="s">
        <v>290</v>
      </c>
      <c r="E165" s="150"/>
      <c r="F165" s="146">
        <f ca="1">INDEX(井道尺寸数据!A36:A63,MATCH(B161+1,井道尺寸数据!A36:A63,-1))</f>
        <v>5500</v>
      </c>
      <c r="G165" s="152" t="b">
        <f ca="1">IF(B26,G161&gt;F165,G161&gt;B161)</f>
        <v>0</v>
      </c>
      <c r="H165" s="112"/>
      <c r="J165" s="102"/>
    </row>
    <row r="166" spans="1:20" ht="19.149999999999999" customHeight="1">
      <c r="A166" s="148" t="s">
        <v>291</v>
      </c>
      <c r="B166" s="149">
        <f ca="1">IF(Home!I18="Critical",IF(AND(G152=B152,G153&lt;=B153,IFERROR((G153-B153)&gt;-30,FALSE),G154&lt;=B154,IFERROR((G154-B154)&gt;-30,FALSE),G155=B155,G156&lt;=B156,G157=B157,G158=B158),IF(G151&lt;=B151,B160,MAX(B160,G160)),G160),G160)</f>
        <v>2600</v>
      </c>
      <c r="C166" s="148" t="s">
        <v>292</v>
      </c>
      <c r="E166" s="150"/>
      <c r="F166" s="151"/>
      <c r="G166" s="152" t="b">
        <f>IF(OR(B12="LTHX",B12="LTHW",B12="LTHX Car",B12="LTHW Car"),FALSE,G161&lt;B162)</f>
        <v>0</v>
      </c>
      <c r="H166" s="112"/>
      <c r="J166" s="102"/>
      <c r="R166" s="3"/>
      <c r="S166" s="3"/>
    </row>
    <row r="167" spans="1:20" ht="30.2" customHeight="1">
      <c r="A167" s="106" t="s">
        <v>293</v>
      </c>
      <c r="B167" s="107"/>
      <c r="C167" s="113"/>
      <c r="D167" s="120"/>
      <c r="E167" s="120"/>
      <c r="F167" s="119"/>
      <c r="G167" s="119"/>
      <c r="H167" s="108"/>
    </row>
    <row r="168" spans="1:20" ht="19.149999999999999" customHeight="1">
      <c r="A168" s="111" t="s">
        <v>294</v>
      </c>
      <c r="B168" s="107"/>
      <c r="C168" s="113"/>
      <c r="D168" s="120"/>
      <c r="E168" s="120"/>
      <c r="F168" s="119"/>
      <c r="G168" s="119"/>
      <c r="H168" s="108"/>
    </row>
    <row r="169" spans="1:20" ht="19.149999999999999" customHeight="1">
      <c r="A169" s="113"/>
      <c r="B169" s="113" t="s">
        <v>295</v>
      </c>
      <c r="C169" s="107">
        <f ca="1">OFFSET(J18,0,$G$12,1,1)+G163-B163+IF(Home!I18="Well to do",100,0)</f>
        <v>4650</v>
      </c>
      <c r="D169" s="120"/>
      <c r="E169" s="119"/>
      <c r="F169" s="119"/>
      <c r="G169" s="119"/>
      <c r="H169" s="108"/>
      <c r="J169" s="102"/>
    </row>
    <row r="170" spans="1:20" ht="19.149999999999999" customHeight="1">
      <c r="A170" s="113"/>
      <c r="B170" s="113"/>
      <c r="C170" s="107"/>
      <c r="D170" s="120"/>
      <c r="E170" s="119"/>
      <c r="F170" s="119"/>
      <c r="G170" s="119"/>
      <c r="H170" s="108"/>
    </row>
    <row r="171" spans="1:20" ht="19.149999999999999" customHeight="1">
      <c r="A171" s="111" t="s">
        <v>296</v>
      </c>
      <c r="R171" s="107"/>
    </row>
    <row r="172" spans="1:20" ht="19.149999999999999" customHeight="1">
      <c r="A172" s="113" t="s">
        <v>297</v>
      </c>
      <c r="B172" s="107" t="s">
        <v>298</v>
      </c>
      <c r="C172" s="107">
        <f ca="1">OFFSET(J19,0,$G$12,1,1)</f>
        <v>1400</v>
      </c>
      <c r="J172" s="102"/>
      <c r="R172" s="107"/>
      <c r="S172" s="167"/>
    </row>
    <row r="173" spans="1:20" ht="35.1" customHeight="1">
      <c r="C173" s="113" t="s">
        <v>299</v>
      </c>
      <c r="D173" s="120" t="s">
        <v>142</v>
      </c>
      <c r="E173" s="107">
        <f ca="1">C172+IF(Home!I18="Well to do",100,0)</f>
        <v>1400</v>
      </c>
      <c r="I173" s="102"/>
    </row>
    <row r="174" spans="1:20" ht="19.149999999999999" customHeight="1">
      <c r="B174" s="18"/>
    </row>
    <row r="175" spans="1:20" ht="19.149999999999999" customHeight="1">
      <c r="A175" s="161"/>
      <c r="B175" s="161"/>
      <c r="C175" s="161"/>
      <c r="D175" s="161"/>
    </row>
    <row r="176" spans="1:20" ht="19.149999999999999" customHeight="1"/>
    <row r="177" ht="19.149999999999999" customHeight="1"/>
  </sheetData>
  <protectedRanges>
    <protectedRange sqref="B3:H4" name="区域1"/>
  </protectedRanges>
  <mergeCells count="8">
    <mergeCell ref="A150:B150"/>
    <mergeCell ref="C150:G150"/>
    <mergeCell ref="A7:C9"/>
    <mergeCell ref="A1:E1"/>
    <mergeCell ref="A2:H2"/>
    <mergeCell ref="A3:H3"/>
    <mergeCell ref="A4:H4"/>
    <mergeCell ref="J149:K149"/>
  </mergeCells>
  <phoneticPr fontId="145" type="noConversion"/>
  <conditionalFormatting sqref="R171">
    <cfRule type="expression" dxfId="5" priority="32" stopIfTrue="1">
      <formula>#REF!="&gt;"</formula>
    </cfRule>
  </conditionalFormatting>
  <conditionalFormatting sqref="E143:E147">
    <cfRule type="cellIs" dxfId="4" priority="1" operator="equal">
      <formula>"NG"</formula>
    </cfRule>
  </conditionalFormatting>
  <conditionalFormatting sqref="F134:F135">
    <cfRule type="cellIs" dxfId="3" priority="2" operator="equal">
      <formula>"干涉！"</formula>
    </cfRule>
  </conditionalFormatting>
  <conditionalFormatting sqref="F138:F139">
    <cfRule type="cellIs" dxfId="2" priority="4" operator="equal">
      <formula>"干涉！"</formula>
    </cfRule>
  </conditionalFormatting>
  <conditionalFormatting sqref="G134:G135">
    <cfRule type="cellIs" dxfId="1" priority="3" operator="equal">
      <formula>"NG"</formula>
    </cfRule>
  </conditionalFormatting>
  <conditionalFormatting sqref="G138:G140">
    <cfRule type="cellIs" dxfId="0" priority="5" operator="equal">
      <formula>"NG"</formula>
    </cfRule>
  </conditionalFormatting>
  <pageMargins left="0.59055118110236204" right="0.59055118110236204" top="0.39370078740157499" bottom="0.59055118110236204" header="0.23622047244094499" footer="0.31496062992126"/>
  <pageSetup paperSize="9" scale="72" orientation="portrait" horizontalDpi="1200" verticalDpi="1200" r:id="rId1"/>
  <headerFooter>
    <oddFooter>&amp;L&amp;"TKTypeRegular,常规"&amp;8Chengnan 5 Rd., South District Zhongshan 528455, Guangdong Province,P.R.China
Tel: (+86) 760 8889 0723 Fax: (+86) 760 8889 0612
Internet: www.thyssenkruppelevator.com.cn&amp;R&amp;"TKTypeRegular,常规"&amp;10&amp;P /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theme="3" tint="-0.499984740745262"/>
  </sheetPr>
  <dimension ref="A1:CF321"/>
  <sheetViews>
    <sheetView topLeftCell="AW1" zoomScale="85" zoomScaleNormal="85" workbookViewId="0">
      <pane ySplit="1" topLeftCell="A2" activePane="bottomLeft" state="frozen"/>
      <selection pane="bottomLeft" activeCell="BM27" sqref="BM27"/>
    </sheetView>
  </sheetViews>
  <sheetFormatPr defaultColWidth="9" defaultRowHeight="14.25"/>
  <cols>
    <col min="1" max="1" width="15.625" style="14" customWidth="1"/>
    <col min="2" max="6" width="7.625" style="14" customWidth="1"/>
    <col min="7" max="11" width="5.625" style="14" customWidth="1"/>
    <col min="12" max="12" width="12.625" style="14" customWidth="1"/>
    <col min="13" max="13" width="3.625" style="14" customWidth="1"/>
    <col min="14" max="14" width="9.625" style="14" customWidth="1"/>
    <col min="15" max="23" width="5.75" style="14" customWidth="1"/>
    <col min="24" max="24" width="3.625" style="14" customWidth="1"/>
    <col min="25" max="25" width="9.625" style="14" customWidth="1"/>
    <col min="26" max="32" width="5.75" style="14" customWidth="1"/>
    <col min="33" max="33" width="3.625" style="14" customWidth="1"/>
    <col min="34" max="34" width="9.625" style="14" customWidth="1"/>
    <col min="35" max="41" width="5.75" style="14" customWidth="1"/>
    <col min="42" max="42" width="3.625" style="14" customWidth="1"/>
    <col min="43" max="43" width="9.625" style="14" customWidth="1"/>
    <col min="44" max="50" width="5.75" style="14" customWidth="1"/>
    <col min="51" max="51" width="9.625" style="14" customWidth="1"/>
    <col min="52" max="52" width="3.625" style="14" customWidth="1"/>
    <col min="53" max="53" width="9.625" style="14" customWidth="1"/>
    <col min="54" max="57" width="5.75" style="14" customWidth="1"/>
    <col min="58" max="60" width="5.75" style="44" customWidth="1"/>
    <col min="61" max="63" width="5.75" style="14" customWidth="1"/>
    <col min="64" max="64" width="4.375" style="14" customWidth="1"/>
    <col min="65" max="65" width="9.625" style="14" customWidth="1"/>
    <col min="66" max="69" width="5.75" style="14" customWidth="1"/>
    <col min="70" max="73" width="5.75" style="44" customWidth="1"/>
    <col min="74" max="74" width="5.75" style="14" customWidth="1"/>
    <col min="75" max="75" width="8.875" style="14" customWidth="1"/>
    <col min="76" max="76" width="9" style="14"/>
    <col min="77" max="84" width="5.75" style="14" customWidth="1"/>
    <col min="85" max="16384" width="9" style="14"/>
  </cols>
  <sheetData>
    <row r="1" spans="1:84" ht="12.75" customHeight="1">
      <c r="A1" s="15" t="s">
        <v>300</v>
      </c>
      <c r="N1" s="292" t="s">
        <v>301</v>
      </c>
      <c r="O1" s="293"/>
      <c r="P1" s="293"/>
      <c r="Q1" s="293"/>
      <c r="R1" s="293"/>
      <c r="S1" s="293"/>
      <c r="T1" s="293"/>
      <c r="U1" s="293"/>
      <c r="V1" s="294" t="s">
        <v>302</v>
      </c>
      <c r="W1" s="295"/>
      <c r="X1" s="50"/>
      <c r="Y1" s="292" t="s">
        <v>303</v>
      </c>
      <c r="Z1" s="293"/>
      <c r="AA1" s="293"/>
      <c r="AB1" s="293"/>
      <c r="AC1" s="296"/>
      <c r="AD1" s="296"/>
      <c r="AE1" s="294" t="s">
        <v>304</v>
      </c>
      <c r="AF1" s="297"/>
      <c r="AH1" s="292" t="s">
        <v>305</v>
      </c>
      <c r="AI1" s="294"/>
      <c r="AJ1" s="294"/>
      <c r="AK1" s="294"/>
      <c r="AL1" s="294"/>
      <c r="AM1" s="294"/>
      <c r="AN1" s="294" t="s">
        <v>302</v>
      </c>
      <c r="AO1" s="298"/>
      <c r="AQ1" s="292" t="s">
        <v>306</v>
      </c>
      <c r="AR1" s="294"/>
      <c r="AS1" s="294"/>
      <c r="AT1" s="294"/>
      <c r="AU1" s="294"/>
      <c r="AV1" s="294"/>
      <c r="AW1" s="294" t="s">
        <v>304</v>
      </c>
      <c r="AX1" s="298"/>
      <c r="BA1" s="292" t="s">
        <v>307</v>
      </c>
      <c r="BB1" s="294"/>
      <c r="BC1" s="294"/>
      <c r="BD1" s="294"/>
      <c r="BE1" s="294"/>
      <c r="BF1" s="294"/>
      <c r="BG1" s="294"/>
      <c r="BH1" s="77"/>
      <c r="BI1" s="294" t="s">
        <v>308</v>
      </c>
      <c r="BJ1" s="294"/>
      <c r="BK1" s="298"/>
      <c r="BL1" s="78"/>
      <c r="BM1" s="292" t="s">
        <v>309</v>
      </c>
      <c r="BN1" s="294"/>
      <c r="BO1" s="294"/>
      <c r="BP1" s="294"/>
      <c r="BQ1" s="294"/>
      <c r="BR1" s="294"/>
      <c r="BS1" s="294"/>
      <c r="BT1" s="77"/>
      <c r="BU1" s="294" t="s">
        <v>310</v>
      </c>
      <c r="BV1" s="298"/>
      <c r="BX1" s="292" t="s">
        <v>311</v>
      </c>
      <c r="BY1" s="294"/>
      <c r="BZ1" s="294"/>
      <c r="CA1" s="294"/>
      <c r="CB1" s="294"/>
      <c r="CC1" s="294"/>
      <c r="CD1" s="294"/>
      <c r="CE1" s="294" t="s">
        <v>302</v>
      </c>
      <c r="CF1" s="298"/>
    </row>
    <row r="2" spans="1:84" ht="12.75" customHeight="1">
      <c r="A2" s="13" t="s">
        <v>103</v>
      </c>
      <c r="B2" s="13" t="s">
        <v>91</v>
      </c>
      <c r="C2" s="13" t="s">
        <v>105</v>
      </c>
      <c r="D2" s="13" t="s">
        <v>11</v>
      </c>
      <c r="E2" s="13" t="s">
        <v>106</v>
      </c>
      <c r="F2" s="45" t="s">
        <v>87</v>
      </c>
      <c r="G2" s="45" t="s">
        <v>107</v>
      </c>
      <c r="H2" s="45" t="s">
        <v>108</v>
      </c>
      <c r="I2" s="45"/>
      <c r="J2" s="45"/>
      <c r="K2" s="45"/>
      <c r="L2" s="29" t="s">
        <v>312</v>
      </c>
      <c r="N2" s="52" t="s">
        <v>313</v>
      </c>
      <c r="O2" s="18"/>
      <c r="P2" s="18"/>
      <c r="Q2" s="18"/>
      <c r="R2" s="18"/>
      <c r="S2" s="18"/>
      <c r="T2" s="18"/>
      <c r="U2" s="18"/>
      <c r="V2" s="18"/>
      <c r="W2" s="67"/>
      <c r="X2" s="18"/>
      <c r="Y2" s="52" t="s">
        <v>313</v>
      </c>
      <c r="Z2" s="18"/>
      <c r="AA2" s="18"/>
      <c r="AB2" s="18"/>
      <c r="AC2" s="18"/>
      <c r="AD2" s="18"/>
      <c r="AE2" s="18"/>
      <c r="AF2" s="67"/>
      <c r="AH2" s="52" t="s">
        <v>313</v>
      </c>
      <c r="AI2" s="18"/>
      <c r="AJ2" s="18"/>
      <c r="AK2" s="18"/>
      <c r="AL2" s="18"/>
      <c r="AM2" s="18"/>
      <c r="AN2" s="18"/>
      <c r="AO2" s="67"/>
      <c r="AQ2" s="52" t="s">
        <v>313</v>
      </c>
      <c r="AR2" s="18"/>
      <c r="AS2" s="18"/>
      <c r="AT2" s="18"/>
      <c r="AU2" s="18"/>
      <c r="AV2" s="18"/>
      <c r="AW2" s="18"/>
      <c r="AX2" s="67"/>
      <c r="BA2" s="52" t="s">
        <v>313</v>
      </c>
      <c r="BB2" s="18"/>
      <c r="BC2" s="18"/>
      <c r="BD2" s="18"/>
      <c r="BE2" s="18"/>
      <c r="BF2" s="15"/>
      <c r="BG2" s="15"/>
      <c r="BH2" s="15"/>
      <c r="BI2" s="18"/>
      <c r="BJ2" s="18"/>
      <c r="BK2" s="67"/>
      <c r="BL2" s="18"/>
      <c r="BM2" s="52" t="s">
        <v>313</v>
      </c>
      <c r="BN2" s="18"/>
      <c r="BO2" s="18"/>
      <c r="BP2" s="18"/>
      <c r="BQ2" s="18"/>
      <c r="BR2" s="15"/>
      <c r="BS2" s="15"/>
      <c r="BT2" s="15"/>
      <c r="BU2" s="15"/>
      <c r="BV2" s="67"/>
      <c r="BX2" s="52" t="s">
        <v>313</v>
      </c>
      <c r="BY2" s="18"/>
      <c r="BZ2" s="18"/>
      <c r="CA2" s="18"/>
      <c r="CB2" s="18"/>
      <c r="CC2" s="18"/>
      <c r="CD2" s="18"/>
      <c r="CE2" s="18"/>
      <c r="CF2" s="67"/>
    </row>
    <row r="3" spans="1:84" ht="12.75" customHeight="1">
      <c r="A3" s="13"/>
      <c r="B3" s="46">
        <v>5000</v>
      </c>
      <c r="C3" s="46">
        <v>5000</v>
      </c>
      <c r="D3" s="46">
        <v>5000</v>
      </c>
      <c r="E3" s="46">
        <v>5000</v>
      </c>
      <c r="F3" s="46">
        <v>320</v>
      </c>
      <c r="G3" s="46">
        <v>320</v>
      </c>
      <c r="H3" s="46">
        <v>630</v>
      </c>
      <c r="I3" s="46"/>
      <c r="J3" s="46"/>
      <c r="K3" s="46"/>
      <c r="L3" s="13">
        <f>IF(Home!H6,Home!I9,Home!#REF!)</f>
        <v>20</v>
      </c>
      <c r="N3" s="53" t="s">
        <v>314</v>
      </c>
      <c r="O3" s="54">
        <v>1600</v>
      </c>
      <c r="P3" s="54">
        <v>2000</v>
      </c>
      <c r="Q3" s="54">
        <v>3000</v>
      </c>
      <c r="R3" s="54">
        <v>4000</v>
      </c>
      <c r="S3" s="54">
        <v>5000</v>
      </c>
      <c r="T3" s="54"/>
      <c r="U3" s="54"/>
      <c r="V3" s="54"/>
      <c r="W3" s="68"/>
      <c r="X3" s="24"/>
      <c r="Y3" s="53" t="s">
        <v>314</v>
      </c>
      <c r="Z3" s="54">
        <v>3000</v>
      </c>
      <c r="AA3" s="54">
        <v>4000</v>
      </c>
      <c r="AB3" s="54">
        <v>5000</v>
      </c>
      <c r="AC3" s="54"/>
      <c r="AD3" s="72"/>
      <c r="AE3" s="72"/>
      <c r="AF3" s="68"/>
      <c r="AH3" s="53" t="s">
        <v>314</v>
      </c>
      <c r="AI3" s="54">
        <v>1600</v>
      </c>
      <c r="AJ3" s="54">
        <v>2000</v>
      </c>
      <c r="AK3" s="54">
        <v>3000</v>
      </c>
      <c r="AL3" s="54">
        <v>4000</v>
      </c>
      <c r="AM3" s="54">
        <v>5000</v>
      </c>
      <c r="AN3" s="72"/>
      <c r="AO3" s="68"/>
      <c r="AQ3" s="53" t="s">
        <v>314</v>
      </c>
      <c r="AR3" s="54">
        <v>3000</v>
      </c>
      <c r="AS3" s="54">
        <v>4000</v>
      </c>
      <c r="AT3" s="54">
        <v>5000</v>
      </c>
      <c r="AU3" s="54"/>
      <c r="AV3" s="54"/>
      <c r="AW3" s="72"/>
      <c r="AX3" s="68"/>
      <c r="BA3" s="53" t="s">
        <v>314</v>
      </c>
      <c r="BB3" s="54">
        <v>400</v>
      </c>
      <c r="BC3" s="54">
        <v>630</v>
      </c>
      <c r="BD3" s="54">
        <v>800</v>
      </c>
      <c r="BE3" s="54">
        <v>1000</v>
      </c>
      <c r="BF3" s="54">
        <v>1150</v>
      </c>
      <c r="BG3" s="54">
        <v>1250</v>
      </c>
      <c r="BH3" s="54">
        <v>1350</v>
      </c>
      <c r="BI3" s="54">
        <v>1600</v>
      </c>
      <c r="BJ3" s="72"/>
      <c r="BK3" s="68" t="s">
        <v>92</v>
      </c>
      <c r="BL3" s="24"/>
      <c r="BM3" s="53" t="s">
        <v>314</v>
      </c>
      <c r="BN3" s="54">
        <v>400</v>
      </c>
      <c r="BO3" s="54">
        <v>630</v>
      </c>
      <c r="BP3" s="54">
        <v>800</v>
      </c>
      <c r="BQ3" s="54">
        <v>1000</v>
      </c>
      <c r="BR3" s="54">
        <v>1150</v>
      </c>
      <c r="BS3" s="54">
        <v>1250</v>
      </c>
      <c r="BT3" s="54">
        <v>1350</v>
      </c>
      <c r="BU3" s="54">
        <v>1600</v>
      </c>
      <c r="BV3" s="68" t="s">
        <v>92</v>
      </c>
      <c r="BX3" s="53" t="s">
        <v>314</v>
      </c>
      <c r="BY3" s="54">
        <v>630</v>
      </c>
      <c r="BZ3" s="54">
        <v>800</v>
      </c>
      <c r="CA3" s="54">
        <v>1000</v>
      </c>
      <c r="CB3" s="54">
        <v>1150</v>
      </c>
      <c r="CC3" s="54">
        <v>1250</v>
      </c>
      <c r="CD3" s="54">
        <v>1350</v>
      </c>
      <c r="CE3" s="54">
        <v>1600</v>
      </c>
      <c r="CF3" s="68">
        <v>2000</v>
      </c>
    </row>
    <row r="4" spans="1:84" ht="12.75" customHeight="1">
      <c r="A4" s="13"/>
      <c r="B4" s="46">
        <v>4000</v>
      </c>
      <c r="C4" s="46">
        <v>4000</v>
      </c>
      <c r="D4" s="46">
        <v>4000</v>
      </c>
      <c r="E4" s="46">
        <v>4000</v>
      </c>
      <c r="F4" s="46">
        <v>400</v>
      </c>
      <c r="G4" s="46">
        <v>400</v>
      </c>
      <c r="H4" s="46">
        <v>800</v>
      </c>
      <c r="I4" s="55"/>
      <c r="J4" s="55"/>
      <c r="K4" s="55"/>
      <c r="L4" s="299" t="s">
        <v>315</v>
      </c>
      <c r="N4" s="56">
        <v>0.5</v>
      </c>
      <c r="O4" s="19">
        <v>60</v>
      </c>
      <c r="P4" s="19">
        <v>60</v>
      </c>
      <c r="Q4" s="19">
        <v>60</v>
      </c>
      <c r="R4" s="19">
        <v>60</v>
      </c>
      <c r="S4" s="19">
        <v>60</v>
      </c>
      <c r="T4" s="19"/>
      <c r="U4" s="19"/>
      <c r="V4" s="19"/>
      <c r="W4" s="19"/>
      <c r="X4" s="24"/>
      <c r="Y4" s="56">
        <v>0.5</v>
      </c>
      <c r="Z4" s="19">
        <v>60</v>
      </c>
      <c r="AA4" s="19">
        <v>60</v>
      </c>
      <c r="AB4" s="19">
        <v>60</v>
      </c>
      <c r="AC4" s="19"/>
      <c r="AD4" s="73"/>
      <c r="AE4" s="73"/>
      <c r="AF4" s="71"/>
      <c r="AH4" s="56">
        <v>0.5</v>
      </c>
      <c r="AI4" s="19">
        <v>60</v>
      </c>
      <c r="AJ4" s="19">
        <v>60</v>
      </c>
      <c r="AK4" s="19">
        <v>60</v>
      </c>
      <c r="AL4" s="19">
        <v>60</v>
      </c>
      <c r="AM4" s="19">
        <v>60</v>
      </c>
      <c r="AN4" s="73"/>
      <c r="AO4" s="71"/>
      <c r="AQ4" s="56">
        <v>0.5</v>
      </c>
      <c r="AR4" s="19">
        <v>60</v>
      </c>
      <c r="AS4" s="19">
        <v>60</v>
      </c>
      <c r="AT4" s="19">
        <v>60</v>
      </c>
      <c r="AU4" s="19"/>
      <c r="AV4" s="19"/>
      <c r="AW4" s="73"/>
      <c r="AX4" s="71"/>
      <c r="BA4" s="56">
        <v>1</v>
      </c>
      <c r="BB4" s="19">
        <v>50</v>
      </c>
      <c r="BC4" s="19">
        <v>50</v>
      </c>
      <c r="BD4" s="19">
        <v>50</v>
      </c>
      <c r="BE4" s="19">
        <v>50</v>
      </c>
      <c r="BF4" s="79">
        <v>50</v>
      </c>
      <c r="BG4" s="79">
        <v>50</v>
      </c>
      <c r="BH4" s="79">
        <v>50</v>
      </c>
      <c r="BI4" s="19">
        <v>50</v>
      </c>
      <c r="BJ4" s="73"/>
      <c r="BK4" s="71" t="s">
        <v>92</v>
      </c>
      <c r="BL4" s="24"/>
      <c r="BM4" s="56">
        <v>1</v>
      </c>
      <c r="BN4" s="19">
        <v>50</v>
      </c>
      <c r="BO4" s="19">
        <v>50</v>
      </c>
      <c r="BP4" s="19">
        <v>50</v>
      </c>
      <c r="BQ4" s="19">
        <v>50</v>
      </c>
      <c r="BR4" s="79">
        <v>50</v>
      </c>
      <c r="BS4" s="79">
        <v>50</v>
      </c>
      <c r="BT4" s="79">
        <v>50</v>
      </c>
      <c r="BU4" s="79">
        <v>50</v>
      </c>
      <c r="BV4" s="71" t="s">
        <v>92</v>
      </c>
      <c r="BX4" s="56">
        <v>1</v>
      </c>
      <c r="BY4" s="19">
        <v>50</v>
      </c>
      <c r="BZ4" s="19">
        <v>50</v>
      </c>
      <c r="CA4" s="19">
        <v>50</v>
      </c>
      <c r="CB4" s="19">
        <v>50</v>
      </c>
      <c r="CC4" s="19">
        <v>50</v>
      </c>
      <c r="CD4" s="19">
        <v>50</v>
      </c>
      <c r="CE4" s="19">
        <v>50</v>
      </c>
      <c r="CF4" s="71">
        <v>50</v>
      </c>
    </row>
    <row r="5" spans="1:84" ht="12.75" customHeight="1">
      <c r="A5" s="13"/>
      <c r="B5" s="46">
        <v>3000</v>
      </c>
      <c r="C5" s="46">
        <v>3000</v>
      </c>
      <c r="D5" s="46">
        <v>3000</v>
      </c>
      <c r="E5" s="46">
        <v>3000</v>
      </c>
      <c r="F5" s="46">
        <v>450</v>
      </c>
      <c r="G5" s="46">
        <v>450</v>
      </c>
      <c r="H5" s="46">
        <v>1000</v>
      </c>
      <c r="I5" s="57"/>
      <c r="J5" s="57"/>
      <c r="K5" s="57"/>
      <c r="L5" s="300"/>
      <c r="N5" s="56">
        <v>1</v>
      </c>
      <c r="O5" s="19">
        <v>60</v>
      </c>
      <c r="P5" s="19">
        <v>60</v>
      </c>
      <c r="Q5" s="19">
        <v>60</v>
      </c>
      <c r="R5" s="19">
        <v>60</v>
      </c>
      <c r="S5" s="19">
        <v>60</v>
      </c>
      <c r="T5" s="19"/>
      <c r="U5" s="19"/>
      <c r="V5" s="19"/>
      <c r="W5" s="19"/>
      <c r="X5" s="24"/>
      <c r="Y5" s="56">
        <v>1</v>
      </c>
      <c r="Z5" s="19">
        <v>60</v>
      </c>
      <c r="AA5" s="19">
        <v>60</v>
      </c>
      <c r="AB5" s="19">
        <v>60</v>
      </c>
      <c r="AC5" s="19"/>
      <c r="AD5" s="73"/>
      <c r="AE5" s="73"/>
      <c r="AF5" s="71"/>
      <c r="AH5" s="56">
        <v>1</v>
      </c>
      <c r="AI5" s="19">
        <v>60</v>
      </c>
      <c r="AJ5" s="19">
        <v>60</v>
      </c>
      <c r="AK5" s="19">
        <v>60</v>
      </c>
      <c r="AL5" s="19">
        <v>60</v>
      </c>
      <c r="AM5" s="19">
        <v>60</v>
      </c>
      <c r="AN5" s="73"/>
      <c r="AO5" s="71"/>
      <c r="AQ5" s="56">
        <v>1</v>
      </c>
      <c r="AR5" s="19">
        <v>60</v>
      </c>
      <c r="AS5" s="19">
        <v>60</v>
      </c>
      <c r="AT5" s="19">
        <v>60</v>
      </c>
      <c r="AU5" s="19"/>
      <c r="AV5" s="19"/>
      <c r="AW5" s="73"/>
      <c r="AX5" s="71"/>
      <c r="BA5" s="56">
        <v>1.5</v>
      </c>
      <c r="BB5" s="19">
        <v>75</v>
      </c>
      <c r="BC5" s="19">
        <v>75</v>
      </c>
      <c r="BD5" s="19">
        <v>75</v>
      </c>
      <c r="BE5" s="19">
        <v>75</v>
      </c>
      <c r="BF5" s="79">
        <v>75</v>
      </c>
      <c r="BG5" s="79">
        <v>75</v>
      </c>
      <c r="BH5" s="79">
        <v>75</v>
      </c>
      <c r="BI5" s="19">
        <v>75</v>
      </c>
      <c r="BJ5" s="73"/>
      <c r="BK5" s="71" t="s">
        <v>92</v>
      </c>
      <c r="BL5" s="24"/>
      <c r="BM5" s="56">
        <v>1.5</v>
      </c>
      <c r="BN5" s="19">
        <v>75</v>
      </c>
      <c r="BO5" s="19">
        <v>75</v>
      </c>
      <c r="BP5" s="19">
        <v>75</v>
      </c>
      <c r="BQ5" s="19">
        <v>75</v>
      </c>
      <c r="BR5" s="79">
        <v>75</v>
      </c>
      <c r="BS5" s="79">
        <v>75</v>
      </c>
      <c r="BT5" s="79">
        <v>75</v>
      </c>
      <c r="BU5" s="79">
        <v>75</v>
      </c>
      <c r="BV5" s="71" t="s">
        <v>92</v>
      </c>
      <c r="BX5" s="56">
        <v>1.5</v>
      </c>
      <c r="BY5" s="19">
        <v>75</v>
      </c>
      <c r="BZ5" s="19">
        <v>75</v>
      </c>
      <c r="CA5" s="19">
        <v>75</v>
      </c>
      <c r="CB5" s="19">
        <v>75</v>
      </c>
      <c r="CC5" s="19">
        <v>75</v>
      </c>
      <c r="CD5" s="19">
        <v>75</v>
      </c>
      <c r="CE5" s="19">
        <v>75</v>
      </c>
      <c r="CF5" s="71">
        <v>75</v>
      </c>
    </row>
    <row r="6" spans="1:84" ht="12.75" customHeight="1">
      <c r="A6" s="13"/>
      <c r="B6" s="46">
        <v>2000</v>
      </c>
      <c r="C6" s="46"/>
      <c r="D6" s="46">
        <v>2000</v>
      </c>
      <c r="E6" s="46"/>
      <c r="F6" s="46">
        <v>630</v>
      </c>
      <c r="G6" s="46">
        <v>630</v>
      </c>
      <c r="H6" s="46">
        <v>1150</v>
      </c>
      <c r="I6" s="57"/>
      <c r="J6" s="57"/>
      <c r="K6" s="57"/>
      <c r="L6" s="300"/>
      <c r="N6" s="56"/>
      <c r="O6" s="19"/>
      <c r="P6" s="19"/>
      <c r="Q6" s="19"/>
      <c r="R6" s="19"/>
      <c r="S6" s="19"/>
      <c r="T6" s="19"/>
      <c r="U6" s="19"/>
      <c r="V6" s="19"/>
      <c r="W6" s="19"/>
      <c r="X6" s="24"/>
      <c r="Y6" s="56"/>
      <c r="Z6" s="19"/>
      <c r="AA6" s="19"/>
      <c r="AB6" s="19"/>
      <c r="AC6" s="19"/>
      <c r="AD6" s="19"/>
      <c r="AE6" s="19"/>
      <c r="AF6" s="71"/>
      <c r="AH6" s="56"/>
      <c r="AI6" s="19"/>
      <c r="AJ6" s="19"/>
      <c r="AK6" s="19"/>
      <c r="AL6" s="19"/>
      <c r="AM6" s="73"/>
      <c r="AN6" s="73"/>
      <c r="AO6" s="71"/>
      <c r="AQ6" s="56"/>
      <c r="AR6" s="19"/>
      <c r="AS6" s="19"/>
      <c r="AT6" s="19"/>
      <c r="AU6" s="19"/>
      <c r="AV6" s="73"/>
      <c r="AW6" s="73"/>
      <c r="AX6" s="71"/>
      <c r="BA6" s="56">
        <v>1.6</v>
      </c>
      <c r="BB6" s="19">
        <v>75</v>
      </c>
      <c r="BC6" s="19">
        <v>75</v>
      </c>
      <c r="BD6" s="19">
        <v>75</v>
      </c>
      <c r="BE6" s="19">
        <v>75</v>
      </c>
      <c r="BF6" s="79">
        <v>75</v>
      </c>
      <c r="BG6" s="79">
        <v>75</v>
      </c>
      <c r="BH6" s="79">
        <v>75</v>
      </c>
      <c r="BI6" s="19">
        <v>75</v>
      </c>
      <c r="BJ6" s="73"/>
      <c r="BK6" s="71" t="s">
        <v>92</v>
      </c>
      <c r="BL6" s="24"/>
      <c r="BM6" s="56">
        <v>1.6</v>
      </c>
      <c r="BN6" s="19">
        <v>75</v>
      </c>
      <c r="BO6" s="19">
        <v>75</v>
      </c>
      <c r="BP6" s="19">
        <v>75</v>
      </c>
      <c r="BQ6" s="19">
        <v>75</v>
      </c>
      <c r="BR6" s="79">
        <v>75</v>
      </c>
      <c r="BS6" s="79">
        <v>75</v>
      </c>
      <c r="BT6" s="79">
        <v>75</v>
      </c>
      <c r="BU6" s="79">
        <v>75</v>
      </c>
      <c r="BV6" s="71" t="s">
        <v>92</v>
      </c>
      <c r="BX6" s="56">
        <v>1.75</v>
      </c>
      <c r="BY6" s="19">
        <v>90</v>
      </c>
      <c r="BZ6" s="19">
        <v>90</v>
      </c>
      <c r="CA6" s="19">
        <v>90</v>
      </c>
      <c r="CB6" s="19">
        <v>90</v>
      </c>
      <c r="CC6" s="19">
        <v>90</v>
      </c>
      <c r="CD6" s="19">
        <v>90</v>
      </c>
      <c r="CE6" s="19">
        <v>90</v>
      </c>
      <c r="CF6" s="71">
        <v>90</v>
      </c>
    </row>
    <row r="7" spans="1:84" ht="12.75" customHeight="1">
      <c r="A7" s="13"/>
      <c r="B7" s="46">
        <v>1600</v>
      </c>
      <c r="C7" s="46"/>
      <c r="D7" s="46">
        <v>1600</v>
      </c>
      <c r="E7" s="46"/>
      <c r="F7" s="46">
        <v>800</v>
      </c>
      <c r="G7" s="46">
        <v>800</v>
      </c>
      <c r="H7" s="46">
        <v>1250</v>
      </c>
      <c r="I7" s="57"/>
      <c r="J7" s="57"/>
      <c r="K7" s="57"/>
      <c r="N7" s="56"/>
      <c r="O7" s="19"/>
      <c r="P7" s="19"/>
      <c r="Q7" s="19"/>
      <c r="R7" s="19"/>
      <c r="S7" s="19"/>
      <c r="T7" s="19"/>
      <c r="U7" s="19"/>
      <c r="V7" s="19"/>
      <c r="W7" s="19"/>
      <c r="X7" s="24"/>
      <c r="Y7" s="56"/>
      <c r="Z7" s="19"/>
      <c r="AA7" s="19"/>
      <c r="AB7" s="19"/>
      <c r="AC7" s="19"/>
      <c r="AD7" s="19"/>
      <c r="AE7" s="19"/>
      <c r="AF7" s="71"/>
      <c r="AH7" s="56"/>
      <c r="AI7" s="19"/>
      <c r="AJ7" s="19"/>
      <c r="AK7" s="19"/>
      <c r="AL7" s="19"/>
      <c r="AM7" s="73"/>
      <c r="AN7" s="73"/>
      <c r="AO7" s="71"/>
      <c r="AQ7" s="56"/>
      <c r="AR7" s="19"/>
      <c r="AS7" s="19"/>
      <c r="AT7" s="19"/>
      <c r="AU7" s="19"/>
      <c r="AV7" s="73"/>
      <c r="AW7" s="73"/>
      <c r="AX7" s="71"/>
      <c r="BA7" s="56">
        <v>1.75</v>
      </c>
      <c r="BB7" s="19">
        <v>90</v>
      </c>
      <c r="BC7" s="19">
        <v>90</v>
      </c>
      <c r="BD7" s="19">
        <v>90</v>
      </c>
      <c r="BE7" s="19">
        <v>90</v>
      </c>
      <c r="BF7" s="79">
        <v>90</v>
      </c>
      <c r="BG7" s="79">
        <v>90</v>
      </c>
      <c r="BH7" s="79">
        <v>90</v>
      </c>
      <c r="BI7" s="19">
        <v>90</v>
      </c>
      <c r="BJ7" s="73"/>
      <c r="BK7" s="71" t="s">
        <v>92</v>
      </c>
      <c r="BL7" s="24"/>
      <c r="BM7" s="56">
        <v>1.75</v>
      </c>
      <c r="BN7" s="19">
        <v>90</v>
      </c>
      <c r="BO7" s="19">
        <v>90</v>
      </c>
      <c r="BP7" s="19">
        <v>90</v>
      </c>
      <c r="BQ7" s="19">
        <v>90</v>
      </c>
      <c r="BR7" s="79">
        <v>90</v>
      </c>
      <c r="BS7" s="79">
        <v>90</v>
      </c>
      <c r="BT7" s="79">
        <v>90</v>
      </c>
      <c r="BU7" s="79">
        <v>90</v>
      </c>
      <c r="BV7" s="71" t="s">
        <v>92</v>
      </c>
      <c r="BX7" s="56">
        <v>2</v>
      </c>
      <c r="BY7" s="19" t="s">
        <v>92</v>
      </c>
      <c r="BZ7" s="19">
        <v>110</v>
      </c>
      <c r="CA7" s="19">
        <v>110</v>
      </c>
      <c r="CB7" s="19">
        <v>110</v>
      </c>
      <c r="CC7" s="19">
        <v>110</v>
      </c>
      <c r="CD7" s="19">
        <v>110</v>
      </c>
      <c r="CE7" s="19">
        <v>110</v>
      </c>
      <c r="CF7" s="71" t="s">
        <v>92</v>
      </c>
    </row>
    <row r="8" spans="1:84" ht="12.75" customHeight="1">
      <c r="A8" s="13"/>
      <c r="B8" s="46"/>
      <c r="C8" s="46"/>
      <c r="D8" s="46"/>
      <c r="E8" s="46"/>
      <c r="F8" s="46">
        <v>1000</v>
      </c>
      <c r="G8" s="46">
        <v>1000</v>
      </c>
      <c r="H8" s="46"/>
      <c r="I8" s="57"/>
      <c r="J8" s="57"/>
      <c r="K8" s="57"/>
      <c r="N8" s="56"/>
      <c r="O8" s="19"/>
      <c r="P8" s="19"/>
      <c r="Q8" s="19"/>
      <c r="R8" s="19"/>
      <c r="S8" s="19"/>
      <c r="T8" s="19"/>
      <c r="U8" s="19"/>
      <c r="V8" s="19"/>
      <c r="W8" s="19"/>
      <c r="X8" s="24"/>
      <c r="Y8" s="58"/>
      <c r="Z8" s="18"/>
      <c r="AA8" s="18"/>
      <c r="AB8" s="18"/>
      <c r="AC8" s="18"/>
      <c r="AD8" s="18"/>
      <c r="AE8" s="18"/>
      <c r="AF8" s="67"/>
      <c r="AH8" s="56"/>
      <c r="AI8" s="19"/>
      <c r="AJ8" s="19"/>
      <c r="AK8" s="19"/>
      <c r="AL8" s="19"/>
      <c r="AM8" s="73"/>
      <c r="AN8" s="73"/>
      <c r="AO8" s="71"/>
      <c r="AQ8" s="58"/>
      <c r="AX8" s="69"/>
      <c r="BA8" s="56">
        <v>2</v>
      </c>
      <c r="BB8" s="19" t="s">
        <v>92</v>
      </c>
      <c r="BC8" s="19">
        <v>110</v>
      </c>
      <c r="BD8" s="19">
        <v>110</v>
      </c>
      <c r="BE8" s="19">
        <v>110</v>
      </c>
      <c r="BF8" s="79">
        <v>110</v>
      </c>
      <c r="BG8" s="79">
        <v>110</v>
      </c>
      <c r="BH8" s="79">
        <v>110</v>
      </c>
      <c r="BI8" s="19">
        <v>110</v>
      </c>
      <c r="BJ8" s="73"/>
      <c r="BK8" s="71" t="s">
        <v>92</v>
      </c>
      <c r="BL8" s="24"/>
      <c r="BM8" s="56">
        <v>2</v>
      </c>
      <c r="BN8" s="19" t="s">
        <v>92</v>
      </c>
      <c r="BO8" s="19" t="s">
        <v>92</v>
      </c>
      <c r="BP8" s="19">
        <v>110</v>
      </c>
      <c r="BQ8" s="19">
        <v>110</v>
      </c>
      <c r="BR8" s="79">
        <v>110</v>
      </c>
      <c r="BS8" s="79">
        <v>110</v>
      </c>
      <c r="BT8" s="79">
        <v>110</v>
      </c>
      <c r="BU8" s="79">
        <v>110</v>
      </c>
      <c r="BV8" s="71" t="s">
        <v>92</v>
      </c>
      <c r="BX8" s="56">
        <v>2.5</v>
      </c>
      <c r="BY8" s="19" t="s">
        <v>92</v>
      </c>
      <c r="BZ8" s="19">
        <v>125</v>
      </c>
      <c r="CA8" s="19">
        <v>125</v>
      </c>
      <c r="CB8" s="19">
        <v>125</v>
      </c>
      <c r="CC8" s="19">
        <v>125</v>
      </c>
      <c r="CD8" s="19">
        <v>125</v>
      </c>
      <c r="CE8" s="19">
        <v>125</v>
      </c>
      <c r="CF8" s="71" t="s">
        <v>92</v>
      </c>
    </row>
    <row r="9" spans="1:84" ht="12.75" customHeight="1">
      <c r="A9" s="13"/>
      <c r="B9" s="46"/>
      <c r="C9" s="46"/>
      <c r="D9" s="46"/>
      <c r="E9" s="46"/>
      <c r="F9" s="46">
        <v>1150</v>
      </c>
      <c r="G9" s="46">
        <v>1150</v>
      </c>
      <c r="H9" s="46"/>
      <c r="I9" s="57"/>
      <c r="J9" s="57"/>
      <c r="K9" s="57"/>
      <c r="N9" s="58" t="s">
        <v>316</v>
      </c>
      <c r="O9" s="24"/>
      <c r="P9" s="24"/>
      <c r="Q9" s="24"/>
      <c r="R9" s="24"/>
      <c r="S9" s="24"/>
      <c r="T9" s="24"/>
      <c r="U9" s="24"/>
      <c r="V9" s="24"/>
      <c r="W9" s="69"/>
      <c r="X9" s="24"/>
      <c r="Y9" s="58"/>
      <c r="Z9" s="18"/>
      <c r="AA9" s="18"/>
      <c r="AB9" s="18"/>
      <c r="AC9" s="18"/>
      <c r="AD9" s="18"/>
      <c r="AE9" s="18"/>
      <c r="AF9" s="67"/>
      <c r="AH9" s="56"/>
      <c r="AI9" s="19"/>
      <c r="AJ9" s="19"/>
      <c r="AK9" s="19"/>
      <c r="AL9" s="19"/>
      <c r="AM9" s="73"/>
      <c r="AN9" s="73"/>
      <c r="AO9" s="71"/>
      <c r="AQ9" s="58"/>
      <c r="AX9" s="69"/>
      <c r="BA9" s="56">
        <v>2.5</v>
      </c>
      <c r="BB9" s="19" t="s">
        <v>92</v>
      </c>
      <c r="BC9" s="19" t="s">
        <v>92</v>
      </c>
      <c r="BD9" s="19">
        <v>125</v>
      </c>
      <c r="BE9" s="19">
        <v>125</v>
      </c>
      <c r="BF9" s="79">
        <v>125</v>
      </c>
      <c r="BG9" s="79">
        <v>125</v>
      </c>
      <c r="BH9" s="79">
        <v>125</v>
      </c>
      <c r="BI9" s="19">
        <v>125</v>
      </c>
      <c r="BJ9" s="73"/>
      <c r="BK9" s="71" t="s">
        <v>92</v>
      </c>
      <c r="BL9" s="24"/>
      <c r="BM9" s="56">
        <v>2.5</v>
      </c>
      <c r="BN9" s="19" t="s">
        <v>92</v>
      </c>
      <c r="BO9" s="19" t="s">
        <v>92</v>
      </c>
      <c r="BP9" s="19">
        <v>125</v>
      </c>
      <c r="BQ9" s="19">
        <v>125</v>
      </c>
      <c r="BR9" s="79">
        <v>125</v>
      </c>
      <c r="BS9" s="79">
        <v>125</v>
      </c>
      <c r="BT9" s="79">
        <v>125</v>
      </c>
      <c r="BU9" s="79">
        <v>125</v>
      </c>
      <c r="BV9" s="71" t="s">
        <v>92</v>
      </c>
      <c r="BX9" s="58" t="s">
        <v>316</v>
      </c>
      <c r="CD9" s="87"/>
      <c r="CF9" s="69"/>
    </row>
    <row r="10" spans="1:84" ht="12.75" customHeight="1">
      <c r="A10" s="13"/>
      <c r="B10" s="46"/>
      <c r="C10" s="46"/>
      <c r="D10" s="46"/>
      <c r="E10" s="46"/>
      <c r="F10" s="46">
        <v>1250</v>
      </c>
      <c r="G10" s="46">
        <v>1250</v>
      </c>
      <c r="H10" s="46">
        <v>1350</v>
      </c>
      <c r="I10" s="57"/>
      <c r="J10" s="57"/>
      <c r="K10" s="57"/>
      <c r="N10" s="58"/>
      <c r="O10" s="24"/>
      <c r="P10" s="24"/>
      <c r="Q10" s="24"/>
      <c r="R10" s="24"/>
      <c r="S10" s="24"/>
      <c r="T10" s="24"/>
      <c r="U10" s="24"/>
      <c r="V10" s="24"/>
      <c r="W10" s="69"/>
      <c r="X10" s="24"/>
      <c r="Y10" s="58"/>
      <c r="Z10" s="18"/>
      <c r="AA10" s="18"/>
      <c r="AB10" s="18"/>
      <c r="AC10" s="18"/>
      <c r="AD10" s="18"/>
      <c r="AE10" s="18"/>
      <c r="AF10" s="67"/>
      <c r="AH10" s="58" t="s">
        <v>316</v>
      </c>
      <c r="AO10" s="69"/>
      <c r="AQ10" s="58"/>
      <c r="AX10" s="69"/>
      <c r="BA10" s="58" t="s">
        <v>316</v>
      </c>
      <c r="BG10" s="80"/>
      <c r="BK10" s="69"/>
      <c r="BM10" s="58" t="s">
        <v>316</v>
      </c>
      <c r="BS10" s="80"/>
      <c r="BV10" s="69"/>
      <c r="BX10" s="58"/>
      <c r="CF10" s="69"/>
    </row>
    <row r="11" spans="1:84" ht="12.75" customHeight="1">
      <c r="A11" s="13"/>
      <c r="B11" s="46"/>
      <c r="C11" s="46"/>
      <c r="D11" s="46"/>
      <c r="E11" s="46"/>
      <c r="F11" s="46">
        <v>1350</v>
      </c>
      <c r="G11" s="46">
        <v>1350</v>
      </c>
      <c r="H11" s="46">
        <v>1600</v>
      </c>
      <c r="I11" s="57"/>
      <c r="J11" s="57"/>
      <c r="K11" s="57"/>
      <c r="N11" s="58"/>
      <c r="W11" s="69"/>
      <c r="Y11" s="58"/>
      <c r="Z11" s="18"/>
      <c r="AA11" s="18"/>
      <c r="AB11" s="18"/>
      <c r="AC11" s="18"/>
      <c r="AD11" s="18"/>
      <c r="AE11" s="18"/>
      <c r="AF11" s="67"/>
      <c r="AH11" s="58"/>
      <c r="AO11" s="69"/>
      <c r="AQ11" s="58"/>
      <c r="AX11" s="69"/>
      <c r="BA11" s="58"/>
      <c r="BK11" s="69"/>
      <c r="BM11" s="58"/>
      <c r="BV11" s="69"/>
      <c r="BX11" s="58"/>
      <c r="CF11" s="69"/>
    </row>
    <row r="12" spans="1:84" ht="12.75" customHeight="1">
      <c r="A12" s="13"/>
      <c r="B12" s="46"/>
      <c r="C12" s="46"/>
      <c r="D12" s="46"/>
      <c r="E12" s="46"/>
      <c r="F12" s="46">
        <v>1600</v>
      </c>
      <c r="G12" s="46">
        <v>1600</v>
      </c>
      <c r="H12" s="46">
        <v>2000</v>
      </c>
      <c r="I12" s="57"/>
      <c r="J12" s="57"/>
      <c r="K12" s="57"/>
      <c r="N12" s="52" t="s">
        <v>317</v>
      </c>
      <c r="O12" s="18"/>
      <c r="P12" s="18"/>
      <c r="Q12" s="18"/>
      <c r="R12" s="18"/>
      <c r="S12" s="18"/>
      <c r="T12" s="18"/>
      <c r="U12" s="18"/>
      <c r="V12" s="18"/>
      <c r="W12" s="67"/>
      <c r="Y12" s="52" t="s">
        <v>317</v>
      </c>
      <c r="Z12" s="18"/>
      <c r="AA12" s="18"/>
      <c r="AB12" s="18"/>
      <c r="AC12" s="18"/>
      <c r="AD12" s="18"/>
      <c r="AE12" s="18"/>
      <c r="AF12" s="67"/>
      <c r="AH12" s="52" t="s">
        <v>317</v>
      </c>
      <c r="AO12" s="69"/>
      <c r="AQ12" s="52" t="s">
        <v>317</v>
      </c>
      <c r="AX12" s="69"/>
      <c r="BA12" s="52" t="s">
        <v>317</v>
      </c>
      <c r="BK12" s="69"/>
      <c r="BM12" s="52" t="s">
        <v>317</v>
      </c>
      <c r="BV12" s="69"/>
      <c r="BX12" s="52" t="s">
        <v>317</v>
      </c>
      <c r="CF12" s="69"/>
    </row>
    <row r="13" spans="1:84" ht="12.75" customHeight="1">
      <c r="A13" s="13"/>
      <c r="B13" s="46"/>
      <c r="C13" s="46"/>
      <c r="D13" s="46"/>
      <c r="E13" s="46"/>
      <c r="F13" s="46">
        <v>1800</v>
      </c>
      <c r="G13" s="46">
        <v>1800</v>
      </c>
      <c r="H13" s="46"/>
      <c r="I13" s="57"/>
      <c r="J13" s="57"/>
      <c r="K13" s="57"/>
      <c r="N13" s="53" t="s">
        <v>314</v>
      </c>
      <c r="O13" s="54">
        <v>1600</v>
      </c>
      <c r="P13" s="54">
        <v>2000</v>
      </c>
      <c r="Q13" s="54">
        <v>3000</v>
      </c>
      <c r="R13" s="54">
        <v>4000</v>
      </c>
      <c r="S13" s="54">
        <v>5000</v>
      </c>
      <c r="T13" s="54"/>
      <c r="U13" s="54"/>
      <c r="V13" s="54"/>
      <c r="W13" s="68"/>
      <c r="X13" s="18"/>
      <c r="Y13" s="53" t="s">
        <v>314</v>
      </c>
      <c r="Z13" s="54">
        <v>3000</v>
      </c>
      <c r="AA13" s="54">
        <v>4000</v>
      </c>
      <c r="AB13" s="54">
        <v>5000</v>
      </c>
      <c r="AC13" s="54"/>
      <c r="AD13" s="72"/>
      <c r="AE13" s="72"/>
      <c r="AF13" s="68"/>
      <c r="AH13" s="53" t="s">
        <v>314</v>
      </c>
      <c r="AI13" s="54">
        <v>1600</v>
      </c>
      <c r="AJ13" s="54">
        <v>2000</v>
      </c>
      <c r="AK13" s="54">
        <v>3000</v>
      </c>
      <c r="AL13" s="54">
        <v>4000</v>
      </c>
      <c r="AM13" s="54">
        <v>5000</v>
      </c>
      <c r="AN13" s="72"/>
      <c r="AO13" s="68"/>
      <c r="AQ13" s="53" t="s">
        <v>314</v>
      </c>
      <c r="AR13" s="54">
        <v>3000</v>
      </c>
      <c r="AS13" s="54">
        <v>4000</v>
      </c>
      <c r="AT13" s="54">
        <v>5000</v>
      </c>
      <c r="AU13" s="54"/>
      <c r="AV13" s="54"/>
      <c r="AW13" s="72"/>
      <c r="AX13" s="68"/>
      <c r="BA13" s="53" t="s">
        <v>314</v>
      </c>
      <c r="BB13" s="54">
        <v>400</v>
      </c>
      <c r="BC13" s="54">
        <v>630</v>
      </c>
      <c r="BD13" s="54">
        <v>800</v>
      </c>
      <c r="BE13" s="54">
        <v>1000</v>
      </c>
      <c r="BF13" s="54">
        <v>1150</v>
      </c>
      <c r="BG13" s="54">
        <v>1250</v>
      </c>
      <c r="BH13" s="54">
        <v>1350</v>
      </c>
      <c r="BI13" s="54">
        <v>1600</v>
      </c>
      <c r="BJ13" s="72"/>
      <c r="BK13" s="68" t="s">
        <v>92</v>
      </c>
      <c r="BL13" s="24"/>
      <c r="BM13" s="53" t="s">
        <v>314</v>
      </c>
      <c r="BN13" s="54">
        <v>400</v>
      </c>
      <c r="BO13" s="54">
        <v>630</v>
      </c>
      <c r="BP13" s="54">
        <v>800</v>
      </c>
      <c r="BQ13" s="54">
        <v>1000</v>
      </c>
      <c r="BR13" s="54">
        <v>1150</v>
      </c>
      <c r="BS13" s="54">
        <v>1250</v>
      </c>
      <c r="BT13" s="54">
        <v>1350</v>
      </c>
      <c r="BU13" s="54">
        <v>1600</v>
      </c>
      <c r="BV13" s="68" t="s">
        <v>92</v>
      </c>
      <c r="BX13" s="53" t="s">
        <v>314</v>
      </c>
      <c r="BY13" s="54">
        <v>630</v>
      </c>
      <c r="BZ13" s="54">
        <v>800</v>
      </c>
      <c r="CA13" s="54">
        <v>1000</v>
      </c>
      <c r="CB13" s="54">
        <v>1150</v>
      </c>
      <c r="CC13" s="54">
        <v>1250</v>
      </c>
      <c r="CD13" s="54">
        <v>1350</v>
      </c>
      <c r="CE13" s="54">
        <v>1600</v>
      </c>
      <c r="CF13" s="68">
        <v>2000</v>
      </c>
    </row>
    <row r="14" spans="1:84" ht="12.75" customHeight="1">
      <c r="A14" s="13"/>
      <c r="B14" s="46"/>
      <c r="C14" s="46"/>
      <c r="D14" s="46"/>
      <c r="E14" s="46"/>
      <c r="F14" s="46">
        <v>2000</v>
      </c>
      <c r="G14" s="46">
        <v>2000</v>
      </c>
      <c r="H14" s="46"/>
      <c r="I14" s="57"/>
      <c r="J14" s="57"/>
      <c r="K14" s="57"/>
      <c r="N14" s="56">
        <v>0.5</v>
      </c>
      <c r="O14" s="19" t="b">
        <v>1</v>
      </c>
      <c r="P14" s="19" t="b">
        <v>1</v>
      </c>
      <c r="Q14" s="19" t="b">
        <v>1</v>
      </c>
      <c r="R14" s="19" t="b">
        <v>1</v>
      </c>
      <c r="S14" s="19" t="b">
        <v>1</v>
      </c>
      <c r="T14" s="19"/>
      <c r="U14" s="19"/>
      <c r="V14" s="19"/>
      <c r="W14" s="19"/>
      <c r="X14" s="24"/>
      <c r="Y14" s="56">
        <v>0.5</v>
      </c>
      <c r="Z14" s="19" t="b">
        <v>1</v>
      </c>
      <c r="AA14" s="19" t="b">
        <v>1</v>
      </c>
      <c r="AB14" s="19" t="b">
        <v>1</v>
      </c>
      <c r="AC14" s="19"/>
      <c r="AD14" s="73"/>
      <c r="AE14" s="73"/>
      <c r="AF14" s="71"/>
      <c r="AH14" s="56">
        <v>0.5</v>
      </c>
      <c r="AI14" s="19" t="b">
        <v>1</v>
      </c>
      <c r="AJ14" s="19" t="b">
        <v>1</v>
      </c>
      <c r="AK14" s="19" t="b">
        <v>1</v>
      </c>
      <c r="AL14" s="19" t="b">
        <v>1</v>
      </c>
      <c r="AM14" s="19" t="b">
        <v>1</v>
      </c>
      <c r="AN14" s="19"/>
      <c r="AO14" s="19"/>
      <c r="AQ14" s="56">
        <v>0.5</v>
      </c>
      <c r="AR14" s="19" t="b">
        <v>1</v>
      </c>
      <c r="AS14" s="19" t="b">
        <v>1</v>
      </c>
      <c r="AT14" s="19" t="b">
        <v>1</v>
      </c>
      <c r="AU14" s="19"/>
      <c r="AV14" s="19"/>
      <c r="AW14" s="19"/>
      <c r="AX14" s="71"/>
      <c r="BA14" s="56">
        <v>1</v>
      </c>
      <c r="BB14" s="19" t="b">
        <v>1</v>
      </c>
      <c r="BC14" s="19" t="b">
        <v>1</v>
      </c>
      <c r="BD14" s="19" t="b">
        <v>1</v>
      </c>
      <c r="BE14" s="19" t="b">
        <v>1</v>
      </c>
      <c r="BF14" s="79" t="b">
        <v>1</v>
      </c>
      <c r="BG14" s="79" t="b">
        <v>1</v>
      </c>
      <c r="BH14" s="79" t="b">
        <v>1</v>
      </c>
      <c r="BI14" s="19" t="b">
        <v>1</v>
      </c>
      <c r="BJ14" s="73"/>
      <c r="BK14" s="71" t="b">
        <v>0</v>
      </c>
      <c r="BL14" s="24"/>
      <c r="BM14" s="56">
        <v>1</v>
      </c>
      <c r="BN14" s="19" t="b">
        <v>1</v>
      </c>
      <c r="BO14" s="19" t="b">
        <v>1</v>
      </c>
      <c r="BP14" s="19" t="b">
        <v>1</v>
      </c>
      <c r="BQ14" s="19" t="b">
        <v>1</v>
      </c>
      <c r="BR14" s="79" t="b">
        <v>1</v>
      </c>
      <c r="BS14" s="79" t="b">
        <v>1</v>
      </c>
      <c r="BT14" s="79" t="b">
        <v>1</v>
      </c>
      <c r="BU14" s="79" t="b">
        <v>1</v>
      </c>
      <c r="BV14" s="71" t="b">
        <v>0</v>
      </c>
      <c r="BX14" s="56">
        <v>1</v>
      </c>
      <c r="BY14" s="19" t="b">
        <v>1</v>
      </c>
      <c r="BZ14" s="19" t="b">
        <v>1</v>
      </c>
      <c r="CA14" s="19" t="b">
        <v>1</v>
      </c>
      <c r="CB14" s="19" t="b">
        <v>1</v>
      </c>
      <c r="CC14" s="19" t="b">
        <v>1</v>
      </c>
      <c r="CD14" s="19" t="b">
        <v>1</v>
      </c>
      <c r="CE14" s="19" t="b">
        <v>1</v>
      </c>
      <c r="CF14" s="19" t="b">
        <v>1</v>
      </c>
    </row>
    <row r="15" spans="1:84" ht="12.75" customHeight="1">
      <c r="A15" s="13"/>
      <c r="B15" s="46"/>
      <c r="C15" s="46"/>
      <c r="D15" s="46"/>
      <c r="E15" s="46"/>
      <c r="F15" s="46"/>
      <c r="G15" s="46"/>
      <c r="H15" s="46"/>
      <c r="I15" s="57"/>
      <c r="J15" s="57"/>
      <c r="K15" s="57"/>
      <c r="N15" s="56">
        <v>1</v>
      </c>
      <c r="O15" s="19" t="b">
        <v>1</v>
      </c>
      <c r="P15" s="19" t="b">
        <v>1</v>
      </c>
      <c r="Q15" s="19" t="b">
        <v>1</v>
      </c>
      <c r="R15" s="19" t="b">
        <v>1</v>
      </c>
      <c r="S15" s="19" t="b">
        <v>1</v>
      </c>
      <c r="T15" s="19"/>
      <c r="U15" s="19"/>
      <c r="V15" s="19"/>
      <c r="W15" s="19"/>
      <c r="X15" s="63"/>
      <c r="Y15" s="56">
        <v>1</v>
      </c>
      <c r="Z15" s="19" t="b">
        <v>1</v>
      </c>
      <c r="AA15" s="19" t="b">
        <v>1</v>
      </c>
      <c r="AB15" s="19" t="b">
        <v>1</v>
      </c>
      <c r="AC15" s="19"/>
      <c r="AD15" s="73"/>
      <c r="AE15" s="73"/>
      <c r="AF15" s="71"/>
      <c r="AH15" s="56">
        <v>1</v>
      </c>
      <c r="AI15" s="19" t="b">
        <v>1</v>
      </c>
      <c r="AJ15" s="19" t="b">
        <v>1</v>
      </c>
      <c r="AK15" s="19" t="b">
        <v>1</v>
      </c>
      <c r="AL15" s="19" t="b">
        <v>1</v>
      </c>
      <c r="AM15" s="19" t="b">
        <v>1</v>
      </c>
      <c r="AN15" s="19"/>
      <c r="AO15" s="19"/>
      <c r="AQ15" s="56">
        <v>1</v>
      </c>
      <c r="AR15" s="19" t="b">
        <v>1</v>
      </c>
      <c r="AS15" s="19" t="b">
        <v>1</v>
      </c>
      <c r="AT15" s="19" t="b">
        <v>1</v>
      </c>
      <c r="AU15" s="19"/>
      <c r="AV15" s="19"/>
      <c r="AW15" s="19"/>
      <c r="AX15" s="71"/>
      <c r="BA15" s="56">
        <v>1.5</v>
      </c>
      <c r="BB15" s="19" t="b">
        <v>1</v>
      </c>
      <c r="BC15" s="19" t="b">
        <v>1</v>
      </c>
      <c r="BD15" s="19" t="b">
        <v>1</v>
      </c>
      <c r="BE15" s="19" t="b">
        <v>1</v>
      </c>
      <c r="BF15" s="79" t="b">
        <v>1</v>
      </c>
      <c r="BG15" s="79" t="b">
        <v>1</v>
      </c>
      <c r="BH15" s="79" t="b">
        <v>1</v>
      </c>
      <c r="BI15" s="19" t="b">
        <v>1</v>
      </c>
      <c r="BJ15" s="73"/>
      <c r="BK15" s="71" t="b">
        <v>0</v>
      </c>
      <c r="BL15" s="24"/>
      <c r="BM15" s="56">
        <v>1.5</v>
      </c>
      <c r="BN15" s="19" t="b">
        <v>1</v>
      </c>
      <c r="BO15" s="19" t="b">
        <v>1</v>
      </c>
      <c r="BP15" s="19" t="b">
        <v>1</v>
      </c>
      <c r="BQ15" s="19" t="b">
        <v>1</v>
      </c>
      <c r="BR15" s="79" t="b">
        <v>1</v>
      </c>
      <c r="BS15" s="79" t="b">
        <v>1</v>
      </c>
      <c r="BT15" s="79" t="b">
        <v>1</v>
      </c>
      <c r="BU15" s="79" t="b">
        <v>1</v>
      </c>
      <c r="BV15" s="71" t="b">
        <v>0</v>
      </c>
      <c r="BX15" s="56">
        <v>1.5</v>
      </c>
      <c r="BY15" s="19" t="b">
        <v>1</v>
      </c>
      <c r="BZ15" s="19" t="b">
        <v>1</v>
      </c>
      <c r="CA15" s="19" t="b">
        <v>1</v>
      </c>
      <c r="CB15" s="19" t="b">
        <v>1</v>
      </c>
      <c r="CC15" s="19" t="b">
        <v>1</v>
      </c>
      <c r="CD15" s="19" t="b">
        <v>1</v>
      </c>
      <c r="CE15" s="19" t="b">
        <v>1</v>
      </c>
      <c r="CF15" s="19" t="b">
        <v>1</v>
      </c>
    </row>
    <row r="16" spans="1:84" ht="12.75" customHeight="1">
      <c r="A16" s="13"/>
      <c r="B16" s="46"/>
      <c r="C16" s="46"/>
      <c r="D16" s="46"/>
      <c r="E16" s="46"/>
      <c r="F16" s="46"/>
      <c r="G16" s="46"/>
      <c r="H16" s="46"/>
      <c r="I16" s="57"/>
      <c r="J16" s="57"/>
      <c r="K16" s="57"/>
      <c r="N16" s="56"/>
      <c r="O16" s="19"/>
      <c r="P16" s="19"/>
      <c r="Q16" s="19"/>
      <c r="R16" s="19"/>
      <c r="S16" s="19"/>
      <c r="T16" s="19"/>
      <c r="U16" s="19"/>
      <c r="V16" s="19"/>
      <c r="W16" s="19"/>
      <c r="X16" s="24"/>
      <c r="Y16" s="56"/>
      <c r="Z16" s="19"/>
      <c r="AA16" s="19"/>
      <c r="AB16" s="19"/>
      <c r="AC16" s="19"/>
      <c r="AD16" s="19"/>
      <c r="AE16" s="19"/>
      <c r="AF16" s="71"/>
      <c r="AH16" s="56"/>
      <c r="AI16" s="19"/>
      <c r="AJ16" s="19"/>
      <c r="AK16" s="19"/>
      <c r="AL16" s="19"/>
      <c r="AM16" s="19"/>
      <c r="AN16" s="19"/>
      <c r="AO16" s="19"/>
      <c r="AQ16" s="56"/>
      <c r="AR16" s="19"/>
      <c r="AS16" s="19"/>
      <c r="AT16" s="19"/>
      <c r="AU16" s="19"/>
      <c r="AV16" s="19"/>
      <c r="AW16" s="19"/>
      <c r="AX16" s="71"/>
      <c r="BA16" s="56">
        <v>1.6</v>
      </c>
      <c r="BB16" s="19" t="b">
        <v>1</v>
      </c>
      <c r="BC16" s="19" t="b">
        <v>1</v>
      </c>
      <c r="BD16" s="19" t="b">
        <v>1</v>
      </c>
      <c r="BE16" s="19" t="b">
        <v>1</v>
      </c>
      <c r="BF16" s="79" t="b">
        <v>1</v>
      </c>
      <c r="BG16" s="79" t="b">
        <v>1</v>
      </c>
      <c r="BH16" s="79" t="b">
        <v>1</v>
      </c>
      <c r="BI16" s="19" t="b">
        <v>1</v>
      </c>
      <c r="BJ16" s="73"/>
      <c r="BK16" s="71" t="b">
        <v>0</v>
      </c>
      <c r="BL16" s="24"/>
      <c r="BM16" s="56">
        <v>1.6</v>
      </c>
      <c r="BN16" s="19" t="b">
        <v>1</v>
      </c>
      <c r="BO16" s="19" t="b">
        <v>1</v>
      </c>
      <c r="BP16" s="19" t="b">
        <v>1</v>
      </c>
      <c r="BQ16" s="19" t="b">
        <v>1</v>
      </c>
      <c r="BR16" s="79" t="b">
        <v>1</v>
      </c>
      <c r="BS16" s="79" t="b">
        <v>1</v>
      </c>
      <c r="BT16" s="79" t="b">
        <v>1</v>
      </c>
      <c r="BU16" s="79" t="b">
        <v>1</v>
      </c>
      <c r="BV16" s="71" t="b">
        <v>0</v>
      </c>
      <c r="BX16" s="56">
        <v>1.75</v>
      </c>
      <c r="BY16" s="19" t="b">
        <v>1</v>
      </c>
      <c r="BZ16" s="19" t="b">
        <v>1</v>
      </c>
      <c r="CA16" s="19" t="b">
        <v>1</v>
      </c>
      <c r="CB16" s="19" t="b">
        <v>1</v>
      </c>
      <c r="CC16" s="19" t="b">
        <v>1</v>
      </c>
      <c r="CD16" s="19" t="b">
        <v>1</v>
      </c>
      <c r="CE16" s="19" t="b">
        <v>1</v>
      </c>
      <c r="CF16" s="19" t="b">
        <v>1</v>
      </c>
    </row>
    <row r="17" spans="1:84" ht="12.75" customHeight="1">
      <c r="N17" s="56"/>
      <c r="O17" s="19"/>
      <c r="P17" s="19"/>
      <c r="Q17" s="19"/>
      <c r="R17" s="19"/>
      <c r="S17" s="19"/>
      <c r="T17" s="19"/>
      <c r="U17" s="19"/>
      <c r="V17" s="19"/>
      <c r="W17" s="19"/>
      <c r="X17" s="24"/>
      <c r="Y17" s="56"/>
      <c r="Z17" s="19"/>
      <c r="AA17" s="19"/>
      <c r="AB17" s="19"/>
      <c r="AC17" s="19"/>
      <c r="AD17" s="19"/>
      <c r="AE17" s="19"/>
      <c r="AF17" s="71"/>
      <c r="AH17" s="56"/>
      <c r="AI17" s="19"/>
      <c r="AJ17" s="19"/>
      <c r="AK17" s="19"/>
      <c r="AL17" s="19"/>
      <c r="AM17" s="19"/>
      <c r="AN17" s="19"/>
      <c r="AO17" s="19"/>
      <c r="AQ17" s="56"/>
      <c r="AR17" s="19"/>
      <c r="AS17" s="19"/>
      <c r="AT17" s="19"/>
      <c r="AU17" s="19"/>
      <c r="AV17" s="19"/>
      <c r="AW17" s="19"/>
      <c r="AX17" s="71"/>
      <c r="BA17" s="56">
        <v>1.75</v>
      </c>
      <c r="BB17" s="19" t="b">
        <v>1</v>
      </c>
      <c r="BC17" s="19" t="b">
        <v>1</v>
      </c>
      <c r="BD17" s="19" t="b">
        <v>1</v>
      </c>
      <c r="BE17" s="19" t="b">
        <v>1</v>
      </c>
      <c r="BF17" s="79" t="b">
        <v>1</v>
      </c>
      <c r="BG17" s="79" t="b">
        <v>1</v>
      </c>
      <c r="BH17" s="79" t="b">
        <v>1</v>
      </c>
      <c r="BI17" s="19" t="b">
        <v>1</v>
      </c>
      <c r="BJ17" s="73"/>
      <c r="BK17" s="71" t="b">
        <v>0</v>
      </c>
      <c r="BL17" s="24"/>
      <c r="BM17" s="56">
        <v>1.75</v>
      </c>
      <c r="BN17" s="19" t="b">
        <v>1</v>
      </c>
      <c r="BO17" s="19" t="b">
        <v>1</v>
      </c>
      <c r="BP17" s="19" t="b">
        <v>1</v>
      </c>
      <c r="BQ17" s="19" t="b">
        <v>1</v>
      </c>
      <c r="BR17" s="79" t="b">
        <v>1</v>
      </c>
      <c r="BS17" s="79" t="b">
        <v>1</v>
      </c>
      <c r="BT17" s="79" t="b">
        <v>1</v>
      </c>
      <c r="BU17" s="79" t="b">
        <v>1</v>
      </c>
      <c r="BV17" s="71" t="b">
        <v>0</v>
      </c>
      <c r="BX17" s="56">
        <v>2</v>
      </c>
      <c r="BY17" s="19" t="b">
        <v>0</v>
      </c>
      <c r="BZ17" s="19" t="b">
        <v>1</v>
      </c>
      <c r="CA17" s="19" t="b">
        <v>1</v>
      </c>
      <c r="CB17" s="19" t="b">
        <v>1</v>
      </c>
      <c r="CC17" s="19" t="b">
        <v>1</v>
      </c>
      <c r="CD17" s="19" t="b">
        <v>1</v>
      </c>
      <c r="CE17" s="19" t="b">
        <v>1</v>
      </c>
      <c r="CF17" s="19" t="b">
        <v>0</v>
      </c>
    </row>
    <row r="18" spans="1:84" ht="12.75" customHeight="1">
      <c r="A18" s="15" t="s">
        <v>318</v>
      </c>
      <c r="N18" s="56"/>
      <c r="O18" s="19"/>
      <c r="P18" s="19"/>
      <c r="Q18" s="19"/>
      <c r="R18" s="19"/>
      <c r="S18" s="19"/>
      <c r="T18" s="19"/>
      <c r="U18" s="19"/>
      <c r="V18" s="19"/>
      <c r="W18" s="19"/>
      <c r="X18" s="24"/>
      <c r="Y18" s="65"/>
      <c r="Z18" s="24"/>
      <c r="AA18" s="24"/>
      <c r="AB18" s="24"/>
      <c r="AC18" s="24"/>
      <c r="AD18" s="24"/>
      <c r="AE18" s="24"/>
      <c r="AF18" s="69"/>
      <c r="AH18" s="56"/>
      <c r="AI18" s="19"/>
      <c r="AJ18" s="19"/>
      <c r="AK18" s="19"/>
      <c r="AL18" s="19"/>
      <c r="AM18" s="19"/>
      <c r="AN18" s="19"/>
      <c r="AO18" s="19"/>
      <c r="AQ18" s="58"/>
      <c r="AR18" s="24"/>
      <c r="AS18" s="24"/>
      <c r="AT18" s="24"/>
      <c r="AU18" s="24"/>
      <c r="AV18" s="24"/>
      <c r="AW18" s="24"/>
      <c r="AX18" s="69"/>
      <c r="BA18" s="56">
        <v>2</v>
      </c>
      <c r="BB18" s="19" t="b">
        <v>0</v>
      </c>
      <c r="BC18" s="19" t="b">
        <v>1</v>
      </c>
      <c r="BD18" s="19" t="b">
        <v>1</v>
      </c>
      <c r="BE18" s="19" t="b">
        <v>1</v>
      </c>
      <c r="BF18" s="79" t="b">
        <v>1</v>
      </c>
      <c r="BG18" s="79" t="b">
        <v>1</v>
      </c>
      <c r="BH18" s="79" t="b">
        <v>1</v>
      </c>
      <c r="BI18" s="19" t="b">
        <v>1</v>
      </c>
      <c r="BJ18" s="73"/>
      <c r="BK18" s="71" t="b">
        <v>0</v>
      </c>
      <c r="BL18" s="24"/>
      <c r="BM18" s="56">
        <v>2</v>
      </c>
      <c r="BN18" s="19" t="b">
        <v>0</v>
      </c>
      <c r="BO18" s="19" t="b">
        <v>0</v>
      </c>
      <c r="BP18" s="19" t="b">
        <v>1</v>
      </c>
      <c r="BQ18" s="19" t="b">
        <v>1</v>
      </c>
      <c r="BR18" s="79" t="b">
        <v>1</v>
      </c>
      <c r="BS18" s="79" t="b">
        <v>1</v>
      </c>
      <c r="BT18" s="79" t="b">
        <v>1</v>
      </c>
      <c r="BU18" s="79" t="b">
        <v>1</v>
      </c>
      <c r="BV18" s="71" t="b">
        <v>0</v>
      </c>
      <c r="BX18" s="56">
        <v>2.5</v>
      </c>
      <c r="BY18" s="19" t="b">
        <v>0</v>
      </c>
      <c r="BZ18" s="19" t="b">
        <v>1</v>
      </c>
      <c r="CA18" s="19" t="b">
        <v>1</v>
      </c>
      <c r="CB18" s="19" t="b">
        <v>1</v>
      </c>
      <c r="CC18" s="19" t="b">
        <v>1</v>
      </c>
      <c r="CD18" s="19" t="b">
        <v>1</v>
      </c>
      <c r="CE18" s="19" t="b">
        <v>1</v>
      </c>
      <c r="CF18" s="19" t="b">
        <v>0</v>
      </c>
    </row>
    <row r="19" spans="1:84" ht="12.75" customHeight="1">
      <c r="A19" s="13" t="s">
        <v>103</v>
      </c>
      <c r="B19" s="13" t="s">
        <v>91</v>
      </c>
      <c r="C19" s="13" t="s">
        <v>105</v>
      </c>
      <c r="D19" s="13" t="s">
        <v>11</v>
      </c>
      <c r="E19" s="13" t="s">
        <v>106</v>
      </c>
      <c r="F19" s="45" t="s">
        <v>87</v>
      </c>
      <c r="G19" s="45" t="s">
        <v>107</v>
      </c>
      <c r="H19" s="45" t="s">
        <v>108</v>
      </c>
      <c r="I19" s="59"/>
      <c r="J19" s="59"/>
      <c r="K19" s="59"/>
      <c r="N19" s="58" t="s">
        <v>319</v>
      </c>
      <c r="O19" s="24"/>
      <c r="P19" s="24"/>
      <c r="Q19" s="24"/>
      <c r="R19" s="24"/>
      <c r="S19" s="24"/>
      <c r="T19" s="24"/>
      <c r="U19" s="24"/>
      <c r="V19" s="24"/>
      <c r="W19" s="70"/>
      <c r="X19" s="24"/>
      <c r="Y19" s="65"/>
      <c r="Z19" s="24"/>
      <c r="AA19" s="24"/>
      <c r="AB19" s="24"/>
      <c r="AC19" s="24"/>
      <c r="AD19" s="24"/>
      <c r="AE19" s="24"/>
      <c r="AF19" s="69"/>
      <c r="AH19" s="58" t="s">
        <v>319</v>
      </c>
      <c r="AI19" s="24"/>
      <c r="AJ19" s="24"/>
      <c r="AK19" s="24"/>
      <c r="AL19" s="24"/>
      <c r="AM19" s="24"/>
      <c r="AN19" s="24"/>
      <c r="AO19" s="69"/>
      <c r="AP19" s="24"/>
      <c r="AQ19" s="58"/>
      <c r="AR19" s="24"/>
      <c r="AS19" s="24"/>
      <c r="AT19" s="24"/>
      <c r="AU19" s="24"/>
      <c r="AV19" s="24"/>
      <c r="AW19" s="24"/>
      <c r="AX19" s="69"/>
      <c r="BA19" s="56">
        <v>2.5</v>
      </c>
      <c r="BB19" s="19" t="b">
        <v>0</v>
      </c>
      <c r="BC19" s="19" t="b">
        <v>0</v>
      </c>
      <c r="BD19" s="19" t="b">
        <v>1</v>
      </c>
      <c r="BE19" s="19" t="b">
        <v>1</v>
      </c>
      <c r="BF19" s="79" t="b">
        <v>1</v>
      </c>
      <c r="BG19" s="79" t="b">
        <v>1</v>
      </c>
      <c r="BH19" s="79" t="b">
        <v>1</v>
      </c>
      <c r="BI19" s="19" t="b">
        <v>1</v>
      </c>
      <c r="BJ19" s="73"/>
      <c r="BK19" s="71" t="b">
        <v>0</v>
      </c>
      <c r="BL19" s="24"/>
      <c r="BM19" s="56">
        <v>2.5</v>
      </c>
      <c r="BN19" s="19" t="b">
        <v>0</v>
      </c>
      <c r="BO19" s="19" t="b">
        <v>0</v>
      </c>
      <c r="BP19" s="19" t="b">
        <v>1</v>
      </c>
      <c r="BQ19" s="19" t="b">
        <v>1</v>
      </c>
      <c r="BR19" s="79" t="b">
        <v>1</v>
      </c>
      <c r="BS19" s="79" t="b">
        <v>1</v>
      </c>
      <c r="BT19" s="79" t="b">
        <v>1</v>
      </c>
      <c r="BU19" s="79" t="b">
        <v>1</v>
      </c>
      <c r="BV19" s="71" t="b">
        <v>0</v>
      </c>
      <c r="BX19" s="58"/>
      <c r="BY19" s="24"/>
      <c r="BZ19" s="24"/>
      <c r="CA19" s="24"/>
      <c r="CB19" s="24"/>
      <c r="CC19" s="24"/>
      <c r="CD19" s="24"/>
      <c r="CE19" s="24"/>
      <c r="CF19" s="70"/>
    </row>
    <row r="20" spans="1:84" ht="12.75" customHeight="1">
      <c r="A20" s="13"/>
      <c r="B20" s="47">
        <v>0.5</v>
      </c>
      <c r="C20" s="47">
        <v>0.5</v>
      </c>
      <c r="D20" s="47">
        <v>0.5</v>
      </c>
      <c r="E20" s="47">
        <v>0.5</v>
      </c>
      <c r="F20" s="47">
        <v>1</v>
      </c>
      <c r="G20" s="47">
        <v>1</v>
      </c>
      <c r="H20" s="47">
        <v>1</v>
      </c>
      <c r="I20" s="60"/>
      <c r="J20" s="60"/>
      <c r="K20" s="60"/>
      <c r="N20" s="58"/>
      <c r="O20" s="24"/>
      <c r="P20" s="24"/>
      <c r="Q20" s="24"/>
      <c r="R20" s="24"/>
      <c r="S20" s="24"/>
      <c r="T20" s="24"/>
      <c r="U20" s="24"/>
      <c r="V20" s="24"/>
      <c r="W20" s="70"/>
      <c r="X20" s="24"/>
      <c r="Y20" s="65"/>
      <c r="AF20" s="69"/>
      <c r="AH20" s="58"/>
      <c r="AO20" s="69"/>
      <c r="AQ20" s="58"/>
      <c r="AX20" s="69"/>
      <c r="BA20" s="58"/>
      <c r="BB20" s="24"/>
      <c r="BC20" s="24"/>
      <c r="BD20" s="24"/>
      <c r="BE20" s="24"/>
      <c r="BF20" s="81"/>
      <c r="BG20" s="81"/>
      <c r="BH20" s="81"/>
      <c r="BI20" s="24"/>
      <c r="BJ20" s="24"/>
      <c r="BK20" s="70"/>
      <c r="BL20" s="24"/>
      <c r="BM20" s="58"/>
      <c r="BN20" s="24"/>
      <c r="BO20" s="24"/>
      <c r="BP20" s="24"/>
      <c r="BQ20" s="24"/>
      <c r="BR20" s="81"/>
      <c r="BS20" s="81"/>
      <c r="BT20" s="81"/>
      <c r="BU20" s="81"/>
      <c r="BV20" s="70"/>
      <c r="BX20" s="58"/>
      <c r="BY20" s="24"/>
      <c r="BZ20" s="24"/>
      <c r="CA20" s="24"/>
      <c r="CB20" s="24"/>
      <c r="CC20" s="24"/>
      <c r="CD20" s="24"/>
      <c r="CE20" s="24"/>
      <c r="CF20" s="70"/>
    </row>
    <row r="21" spans="1:84" ht="12.75" customHeight="1">
      <c r="A21" s="13"/>
      <c r="B21" s="47">
        <v>1</v>
      </c>
      <c r="C21" s="47">
        <v>1</v>
      </c>
      <c r="D21" s="47">
        <v>1</v>
      </c>
      <c r="E21" s="47">
        <v>1</v>
      </c>
      <c r="F21" s="47">
        <v>1.5</v>
      </c>
      <c r="G21" s="47">
        <v>1.5</v>
      </c>
      <c r="H21" s="47">
        <v>1.5</v>
      </c>
      <c r="I21" s="60"/>
      <c r="J21" s="60"/>
      <c r="K21" s="60"/>
      <c r="N21" s="52" t="s">
        <v>320</v>
      </c>
      <c r="O21" s="18"/>
      <c r="P21" s="18"/>
      <c r="Q21" s="18"/>
      <c r="R21" s="18"/>
      <c r="S21" s="18"/>
      <c r="T21" s="18"/>
      <c r="U21" s="18"/>
      <c r="V21" s="18"/>
      <c r="W21" s="67"/>
      <c r="Y21" s="52" t="s">
        <v>320</v>
      </c>
      <c r="Z21" s="18"/>
      <c r="AA21" s="18"/>
      <c r="AB21" s="18"/>
      <c r="AC21" s="18"/>
      <c r="AD21" s="18"/>
      <c r="AE21" s="18"/>
      <c r="AF21" s="67"/>
      <c r="AH21" s="52" t="s">
        <v>320</v>
      </c>
      <c r="AI21" s="18"/>
      <c r="AJ21" s="18"/>
      <c r="AK21" s="18"/>
      <c r="AL21" s="18"/>
      <c r="AM21" s="18"/>
      <c r="AN21" s="18"/>
      <c r="AO21" s="67"/>
      <c r="AQ21" s="52" t="s">
        <v>320</v>
      </c>
      <c r="AR21" s="18"/>
      <c r="AS21" s="18"/>
      <c r="AT21" s="18"/>
      <c r="AU21" s="18"/>
      <c r="AV21" s="18"/>
      <c r="AW21" s="18"/>
      <c r="AX21" s="67"/>
      <c r="BA21" s="52" t="s">
        <v>320</v>
      </c>
      <c r="BB21" s="18"/>
      <c r="BC21" s="18"/>
      <c r="BD21" s="18"/>
      <c r="BE21" s="18"/>
      <c r="BF21" s="15"/>
      <c r="BG21" s="15"/>
      <c r="BH21" s="15"/>
      <c r="BI21" s="18"/>
      <c r="BJ21" s="18"/>
      <c r="BK21" s="67"/>
      <c r="BL21" s="18"/>
      <c r="BM21" s="52" t="s">
        <v>320</v>
      </c>
      <c r="BN21" s="18"/>
      <c r="BO21" s="18"/>
      <c r="BP21" s="18"/>
      <c r="BQ21" s="18"/>
      <c r="BR21" s="15"/>
      <c r="BS21" s="15"/>
      <c r="BT21" s="15"/>
      <c r="BU21" s="15"/>
      <c r="BV21" s="67"/>
      <c r="BX21" s="52" t="s">
        <v>320</v>
      </c>
      <c r="BY21" s="18"/>
      <c r="BZ21" s="18"/>
      <c r="CA21" s="18"/>
      <c r="CB21" s="18"/>
      <c r="CC21" s="18"/>
      <c r="CD21" s="18"/>
      <c r="CE21" s="18"/>
      <c r="CF21" s="67"/>
    </row>
    <row r="22" spans="1:84" ht="12.75" customHeight="1">
      <c r="A22" s="13"/>
      <c r="B22" s="47"/>
      <c r="C22" s="48"/>
      <c r="D22" s="47"/>
      <c r="E22" s="47"/>
      <c r="F22" s="49" t="str">
        <f>IF('轿厢&gt;井道'!$B$25="GOST 33984.1",1.6,"")</f>
        <v/>
      </c>
      <c r="G22" s="49" t="str">
        <f>IF('轿厢&gt;井道'!$B$25="GOST 33984.1",1.6,"")</f>
        <v/>
      </c>
      <c r="H22" s="48">
        <v>1.75</v>
      </c>
      <c r="I22" s="61"/>
      <c r="J22" s="61"/>
      <c r="K22" s="61"/>
      <c r="N22" s="62" t="s">
        <v>321</v>
      </c>
      <c r="O22" s="54">
        <v>1600</v>
      </c>
      <c r="P22" s="54">
        <v>2000</v>
      </c>
      <c r="Q22" s="54">
        <v>3000</v>
      </c>
      <c r="R22" s="54">
        <v>4000</v>
      </c>
      <c r="S22" s="54">
        <v>5000</v>
      </c>
      <c r="T22" s="54"/>
      <c r="U22" s="54"/>
      <c r="V22" s="54"/>
      <c r="W22" s="68"/>
      <c r="Y22" s="62" t="s">
        <v>321</v>
      </c>
      <c r="Z22" s="54">
        <v>3000</v>
      </c>
      <c r="AA22" s="54">
        <v>4000</v>
      </c>
      <c r="AB22" s="54">
        <v>5000</v>
      </c>
      <c r="AC22" s="54"/>
      <c r="AD22" s="54"/>
      <c r="AE22" s="54"/>
      <c r="AF22" s="68"/>
      <c r="AH22" s="62" t="s">
        <v>321</v>
      </c>
      <c r="AI22" s="54">
        <v>1600</v>
      </c>
      <c r="AJ22" s="54">
        <v>2000</v>
      </c>
      <c r="AK22" s="54">
        <v>3000</v>
      </c>
      <c r="AL22" s="54">
        <v>4000</v>
      </c>
      <c r="AM22" s="54">
        <v>5000</v>
      </c>
      <c r="AN22" s="54"/>
      <c r="AO22" s="68"/>
      <c r="AQ22" s="62" t="s">
        <v>321</v>
      </c>
      <c r="AR22" s="54">
        <v>3000</v>
      </c>
      <c r="AS22" s="54">
        <v>4000</v>
      </c>
      <c r="AT22" s="54">
        <v>5000</v>
      </c>
      <c r="AU22" s="54"/>
      <c r="AV22" s="54"/>
      <c r="AW22" s="54"/>
      <c r="AX22" s="68"/>
      <c r="BA22" s="62" t="s">
        <v>321</v>
      </c>
      <c r="BB22" s="54">
        <v>400</v>
      </c>
      <c r="BC22" s="54">
        <v>630</v>
      </c>
      <c r="BD22" s="54">
        <v>800</v>
      </c>
      <c r="BE22" s="54">
        <v>1000</v>
      </c>
      <c r="BF22" s="54">
        <v>1150</v>
      </c>
      <c r="BG22" s="54">
        <v>1250</v>
      </c>
      <c r="BH22" s="54">
        <v>1350</v>
      </c>
      <c r="BI22" s="54">
        <v>1600</v>
      </c>
      <c r="BJ22" s="72"/>
      <c r="BK22" s="68" t="s">
        <v>92</v>
      </c>
      <c r="BL22" s="24"/>
      <c r="BM22" s="62" t="s">
        <v>321</v>
      </c>
      <c r="BN22" s="54">
        <v>400</v>
      </c>
      <c r="BO22" s="54">
        <v>630</v>
      </c>
      <c r="BP22" s="54">
        <v>800</v>
      </c>
      <c r="BQ22" s="54">
        <v>1000</v>
      </c>
      <c r="BR22" s="54">
        <v>1150</v>
      </c>
      <c r="BS22" s="54">
        <v>1250</v>
      </c>
      <c r="BT22" s="54">
        <v>1350</v>
      </c>
      <c r="BU22" s="54">
        <v>1600</v>
      </c>
      <c r="BV22" s="68" t="s">
        <v>92</v>
      </c>
      <c r="BX22" s="62" t="s">
        <v>321</v>
      </c>
      <c r="BY22" s="54">
        <v>630</v>
      </c>
      <c r="BZ22" s="54">
        <v>800</v>
      </c>
      <c r="CA22" s="54">
        <v>1000</v>
      </c>
      <c r="CB22" s="72">
        <v>1150</v>
      </c>
      <c r="CC22" s="54">
        <v>1250</v>
      </c>
      <c r="CD22" s="54">
        <v>1350</v>
      </c>
      <c r="CE22" s="54">
        <v>1600</v>
      </c>
      <c r="CF22" s="68">
        <v>2000</v>
      </c>
    </row>
    <row r="23" spans="1:84" ht="12.75" customHeight="1">
      <c r="A23" s="13"/>
      <c r="B23" s="47"/>
      <c r="C23" s="47"/>
      <c r="D23" s="47"/>
      <c r="E23" s="47"/>
      <c r="F23" s="48">
        <v>1.75</v>
      </c>
      <c r="G23" s="48">
        <v>1.75</v>
      </c>
      <c r="H23" s="47">
        <v>2</v>
      </c>
      <c r="I23" s="51"/>
      <c r="J23" s="51"/>
      <c r="K23" s="51"/>
      <c r="N23" s="56" t="s">
        <v>34</v>
      </c>
      <c r="O23" s="19" t="s">
        <v>92</v>
      </c>
      <c r="P23" s="19" t="s">
        <v>92</v>
      </c>
      <c r="Q23" s="19" t="s">
        <v>92</v>
      </c>
      <c r="R23" s="19" t="s">
        <v>92</v>
      </c>
      <c r="S23" s="19" t="s">
        <v>92</v>
      </c>
      <c r="T23" s="19"/>
      <c r="U23" s="19"/>
      <c r="V23" s="19"/>
      <c r="W23" s="71"/>
      <c r="X23" s="24"/>
      <c r="Y23" s="56" t="s">
        <v>19</v>
      </c>
      <c r="Z23" s="19">
        <v>2500</v>
      </c>
      <c r="AA23" s="19">
        <v>2700</v>
      </c>
      <c r="AB23" s="19">
        <v>2800</v>
      </c>
      <c r="AC23" s="19"/>
      <c r="AD23" s="19"/>
      <c r="AE23" s="19"/>
      <c r="AF23" s="71"/>
      <c r="AH23" s="56" t="s">
        <v>34</v>
      </c>
      <c r="AI23" s="19" t="s">
        <v>92</v>
      </c>
      <c r="AJ23" s="19" t="s">
        <v>92</v>
      </c>
      <c r="AK23" s="19" t="s">
        <v>92</v>
      </c>
      <c r="AL23" s="19" t="s">
        <v>92</v>
      </c>
      <c r="AM23" s="19" t="s">
        <v>92</v>
      </c>
      <c r="AN23" s="19"/>
      <c r="AO23" s="71"/>
      <c r="AQ23" s="56" t="s">
        <v>19</v>
      </c>
      <c r="AR23" s="19">
        <v>2500</v>
      </c>
      <c r="AS23" s="19">
        <v>2700</v>
      </c>
      <c r="AT23" s="19">
        <v>2800</v>
      </c>
      <c r="AU23" s="19"/>
      <c r="AV23" s="19"/>
      <c r="AW23" s="19"/>
      <c r="AX23" s="71"/>
      <c r="BA23" s="56" t="s">
        <v>34</v>
      </c>
      <c r="BB23" s="19">
        <v>1000</v>
      </c>
      <c r="BC23" s="20">
        <f>IF('轿厢&gt;井道'!$B$25="GOST 33984.1","-",1400)</f>
        <v>1400</v>
      </c>
      <c r="BD23" s="19">
        <v>1400</v>
      </c>
      <c r="BE23" s="20">
        <f>IF('轿厢&gt;井道'!$B$25="GOST 33984.1",2100,1600)</f>
        <v>1600</v>
      </c>
      <c r="BF23" s="19">
        <v>1800</v>
      </c>
      <c r="BG23" s="19">
        <v>2000</v>
      </c>
      <c r="BH23" s="19">
        <v>2000</v>
      </c>
      <c r="BI23" s="19">
        <v>2000</v>
      </c>
      <c r="BJ23" s="73"/>
      <c r="BK23" s="71" t="s">
        <v>92</v>
      </c>
      <c r="BL23" s="24"/>
      <c r="BM23" s="56" t="s">
        <v>34</v>
      </c>
      <c r="BN23" s="19" t="s">
        <v>92</v>
      </c>
      <c r="BO23" s="19" t="s">
        <v>92</v>
      </c>
      <c r="BP23" s="19" t="s">
        <v>92</v>
      </c>
      <c r="BQ23" s="19" t="s">
        <v>92</v>
      </c>
      <c r="BR23" s="79" t="s">
        <v>92</v>
      </c>
      <c r="BS23" s="79" t="s">
        <v>92</v>
      </c>
      <c r="BT23" s="79" t="s">
        <v>92</v>
      </c>
      <c r="BU23" s="79" t="s">
        <v>92</v>
      </c>
      <c r="BV23" s="71" t="s">
        <v>92</v>
      </c>
      <c r="BX23" s="56" t="s">
        <v>34</v>
      </c>
      <c r="BY23" s="19">
        <v>1400</v>
      </c>
      <c r="BZ23" s="19">
        <v>1400</v>
      </c>
      <c r="CA23" s="19">
        <v>1600</v>
      </c>
      <c r="CB23" s="19">
        <v>1700</v>
      </c>
      <c r="CC23" s="19">
        <v>1700</v>
      </c>
      <c r="CD23" s="19">
        <v>1800</v>
      </c>
      <c r="CE23" s="19">
        <v>2000</v>
      </c>
      <c r="CF23" s="71" t="s">
        <v>92</v>
      </c>
    </row>
    <row r="24" spans="1:84" ht="12.75" customHeight="1">
      <c r="A24" s="13"/>
      <c r="B24" s="47"/>
      <c r="C24" s="47"/>
      <c r="D24" s="47"/>
      <c r="E24" s="47"/>
      <c r="F24" s="47">
        <v>2</v>
      </c>
      <c r="G24" s="49">
        <f>IF('轿厢&gt;井道'!$B$25="GOST 33984.1","",2)</f>
        <v>2</v>
      </c>
      <c r="H24" s="47">
        <v>2.5</v>
      </c>
      <c r="I24" s="61"/>
      <c r="J24" s="61"/>
      <c r="K24" s="61"/>
      <c r="N24" s="56" t="s">
        <v>19</v>
      </c>
      <c r="O24" s="38">
        <v>1600</v>
      </c>
      <c r="P24" s="19">
        <v>1900</v>
      </c>
      <c r="Q24" s="19">
        <v>2200</v>
      </c>
      <c r="R24" s="19">
        <v>2500</v>
      </c>
      <c r="S24" s="19">
        <v>2800</v>
      </c>
      <c r="T24" s="19"/>
      <c r="U24" s="19"/>
      <c r="V24" s="19"/>
      <c r="W24" s="71"/>
      <c r="X24" s="63"/>
      <c r="Y24" s="56"/>
      <c r="Z24" s="19"/>
      <c r="AA24" s="19"/>
      <c r="AB24" s="19"/>
      <c r="AC24" s="19"/>
      <c r="AD24" s="19"/>
      <c r="AE24" s="19"/>
      <c r="AF24" s="71"/>
      <c r="AH24" s="56" t="s">
        <v>19</v>
      </c>
      <c r="AI24" s="19">
        <v>1600</v>
      </c>
      <c r="AJ24" s="19">
        <v>1900</v>
      </c>
      <c r="AK24" s="19">
        <v>2200</v>
      </c>
      <c r="AL24" s="19">
        <v>2500</v>
      </c>
      <c r="AM24" s="19">
        <v>2800</v>
      </c>
      <c r="AN24" s="19"/>
      <c r="AO24" s="71"/>
      <c r="AQ24" s="56"/>
      <c r="AR24" s="19"/>
      <c r="AS24" s="19"/>
      <c r="AT24" s="19"/>
      <c r="AU24" s="19"/>
      <c r="AV24" s="19"/>
      <c r="AW24" s="19"/>
      <c r="AX24" s="71"/>
      <c r="BA24" s="56" t="s">
        <v>19</v>
      </c>
      <c r="BB24" s="19" t="s">
        <v>92</v>
      </c>
      <c r="BC24" s="19">
        <v>1100</v>
      </c>
      <c r="BD24" s="20">
        <f>IF('轿厢&gt;井道'!$B$25="GOST 33984.1",1400,1350)</f>
        <v>1350</v>
      </c>
      <c r="BE24" s="20">
        <f>IF('轿厢&gt;井道'!$B$25="GOST 33984.1",1100,1600)</f>
        <v>1600</v>
      </c>
      <c r="BF24" s="19" t="s">
        <v>92</v>
      </c>
      <c r="BG24" s="19" t="s">
        <v>92</v>
      </c>
      <c r="BH24" s="19" t="s">
        <v>92</v>
      </c>
      <c r="BI24" s="20">
        <f>IF('轿厢&gt;井道'!$B$25="GOST 33984.1",1400,2000)</f>
        <v>2000</v>
      </c>
      <c r="BJ24" s="82"/>
      <c r="BK24" s="71" t="s">
        <v>92</v>
      </c>
      <c r="BL24" s="24"/>
      <c r="BM24" s="56" t="s">
        <v>19</v>
      </c>
      <c r="BN24" s="19">
        <v>1000</v>
      </c>
      <c r="BO24" s="19">
        <v>1100</v>
      </c>
      <c r="BP24" s="19">
        <v>1350</v>
      </c>
      <c r="BQ24" s="20">
        <f>IF('轿厢&gt;井道'!$B$25="GOST 33984.1",1100,1600)</f>
        <v>1600</v>
      </c>
      <c r="BR24" s="79">
        <v>1800</v>
      </c>
      <c r="BS24" s="79">
        <v>2000</v>
      </c>
      <c r="BT24" s="79">
        <v>2000</v>
      </c>
      <c r="BU24" s="79">
        <v>2000</v>
      </c>
      <c r="BV24" s="79" t="s">
        <v>92</v>
      </c>
      <c r="BX24" s="56" t="s">
        <v>19</v>
      </c>
      <c r="BY24" s="19">
        <v>1100</v>
      </c>
      <c r="BZ24" s="19">
        <v>1350</v>
      </c>
      <c r="CA24" s="19">
        <v>1400</v>
      </c>
      <c r="CB24" s="73">
        <v>1500</v>
      </c>
      <c r="CC24" s="19">
        <v>1600</v>
      </c>
      <c r="CD24" s="19">
        <v>1600</v>
      </c>
      <c r="CE24" s="19">
        <v>1700</v>
      </c>
      <c r="CF24" s="71">
        <v>1900</v>
      </c>
    </row>
    <row r="25" spans="1:84" ht="12.75" customHeight="1">
      <c r="A25" s="13"/>
      <c r="B25" s="47"/>
      <c r="C25" s="47"/>
      <c r="D25" s="47"/>
      <c r="E25" s="47"/>
      <c r="F25" s="47">
        <v>2.5</v>
      </c>
      <c r="G25" s="49">
        <f>IF('轿厢&gt;井道'!$B$25="GOST 33984.1","",2.5)</f>
        <v>2.5</v>
      </c>
      <c r="H25" s="47"/>
      <c r="I25" s="61"/>
      <c r="J25" s="61"/>
      <c r="K25" s="61"/>
      <c r="N25" s="58"/>
      <c r="O25" s="24"/>
      <c r="P25" s="24"/>
      <c r="Q25" s="24"/>
      <c r="R25" s="24"/>
      <c r="S25" s="24"/>
      <c r="T25" s="24"/>
      <c r="U25" s="24"/>
      <c r="V25" s="24"/>
      <c r="W25" s="70"/>
      <c r="X25" s="63"/>
      <c r="Y25" s="65"/>
      <c r="AF25" s="69"/>
      <c r="AH25" s="52"/>
      <c r="AO25" s="69"/>
      <c r="AQ25" s="52"/>
      <c r="AX25" s="69"/>
      <c r="BA25" s="65"/>
      <c r="BK25" s="69"/>
      <c r="BM25" s="65"/>
      <c r="BV25" s="69"/>
      <c r="BX25" s="65"/>
      <c r="CF25" s="69"/>
    </row>
    <row r="26" spans="1:84" ht="12.75" customHeight="1">
      <c r="A26" s="50"/>
      <c r="B26" s="51"/>
      <c r="C26" s="51"/>
      <c r="D26" s="51"/>
      <c r="F26" s="51"/>
      <c r="H26" s="51"/>
      <c r="N26" s="52" t="s">
        <v>322</v>
      </c>
      <c r="O26" s="18"/>
      <c r="P26" s="18"/>
      <c r="Q26" s="18"/>
      <c r="R26" s="18"/>
      <c r="S26" s="18"/>
      <c r="T26" s="18"/>
      <c r="U26" s="18"/>
      <c r="V26" s="18"/>
      <c r="W26" s="67"/>
      <c r="X26" s="63"/>
      <c r="Y26" s="52" t="s">
        <v>322</v>
      </c>
      <c r="Z26" s="18"/>
      <c r="AA26" s="18"/>
      <c r="AB26" s="18"/>
      <c r="AC26" s="18"/>
      <c r="AD26" s="18"/>
      <c r="AE26" s="18"/>
      <c r="AF26" s="67"/>
      <c r="AH26" s="52" t="s">
        <v>322</v>
      </c>
      <c r="AI26" s="18"/>
      <c r="AJ26" s="18"/>
      <c r="AK26" s="18"/>
      <c r="AL26" s="18"/>
      <c r="AM26" s="18"/>
      <c r="AN26" s="18"/>
      <c r="AO26" s="69"/>
      <c r="AQ26" s="52" t="s">
        <v>322</v>
      </c>
      <c r="AR26" s="18"/>
      <c r="AS26" s="18"/>
      <c r="AT26" s="18"/>
      <c r="AU26" s="18"/>
      <c r="AV26" s="18"/>
      <c r="AW26" s="18"/>
      <c r="AX26" s="69"/>
      <c r="BA26" s="52" t="s">
        <v>322</v>
      </c>
      <c r="BB26" s="18"/>
      <c r="BC26" s="18"/>
      <c r="BD26" s="18"/>
      <c r="BE26" s="18"/>
      <c r="BF26" s="15"/>
      <c r="BG26" s="15"/>
      <c r="BH26" s="15"/>
      <c r="BI26" s="18"/>
      <c r="BJ26" s="18"/>
      <c r="BK26" s="67"/>
      <c r="BL26" s="18"/>
      <c r="BM26" s="52" t="s">
        <v>322</v>
      </c>
      <c r="BN26" s="18"/>
      <c r="BO26" s="18"/>
      <c r="BP26" s="18"/>
      <c r="BQ26" s="18"/>
      <c r="BR26" s="15"/>
      <c r="BS26" s="15"/>
      <c r="BT26" s="15"/>
      <c r="BU26" s="15"/>
      <c r="BV26" s="67"/>
      <c r="BX26" s="52" t="s">
        <v>322</v>
      </c>
      <c r="BY26" s="18"/>
      <c r="BZ26" s="18"/>
      <c r="CA26" s="18"/>
      <c r="CB26" s="18"/>
      <c r="CC26" s="18"/>
      <c r="CD26" s="18"/>
      <c r="CE26" s="18"/>
      <c r="CF26" s="67"/>
    </row>
    <row r="27" spans="1:84" ht="12.75" customHeight="1">
      <c r="A27" s="15" t="s">
        <v>323</v>
      </c>
      <c r="N27" s="62" t="s">
        <v>321</v>
      </c>
      <c r="O27" s="54">
        <v>1600</v>
      </c>
      <c r="P27" s="54">
        <v>2000</v>
      </c>
      <c r="Q27" s="54">
        <v>3000</v>
      </c>
      <c r="R27" s="54">
        <v>4000</v>
      </c>
      <c r="S27" s="54">
        <v>5000</v>
      </c>
      <c r="T27" s="54"/>
      <c r="U27" s="54"/>
      <c r="V27" s="54"/>
      <c r="W27" s="68"/>
      <c r="X27" s="24"/>
      <c r="Y27" s="62" t="s">
        <v>321</v>
      </c>
      <c r="Z27" s="54">
        <v>3000</v>
      </c>
      <c r="AA27" s="54">
        <v>4000</v>
      </c>
      <c r="AB27" s="54">
        <v>5000</v>
      </c>
      <c r="AC27" s="54"/>
      <c r="AD27" s="54"/>
      <c r="AE27" s="54"/>
      <c r="AF27" s="68"/>
      <c r="AH27" s="62" t="s">
        <v>321</v>
      </c>
      <c r="AI27" s="54">
        <v>1600</v>
      </c>
      <c r="AJ27" s="54">
        <v>2000</v>
      </c>
      <c r="AK27" s="54">
        <v>3000</v>
      </c>
      <c r="AL27" s="54">
        <v>4000</v>
      </c>
      <c r="AM27" s="54">
        <v>5000</v>
      </c>
      <c r="AN27" s="54"/>
      <c r="AO27" s="68"/>
      <c r="AQ27" s="62" t="s">
        <v>321</v>
      </c>
      <c r="AR27" s="54">
        <v>3000</v>
      </c>
      <c r="AS27" s="54">
        <v>4000</v>
      </c>
      <c r="AT27" s="54">
        <v>5000</v>
      </c>
      <c r="AU27" s="54"/>
      <c r="AV27" s="54"/>
      <c r="AW27" s="54"/>
      <c r="AX27" s="68"/>
      <c r="BA27" s="62" t="s">
        <v>321</v>
      </c>
      <c r="BB27" s="54">
        <v>400</v>
      </c>
      <c r="BC27" s="54">
        <v>630</v>
      </c>
      <c r="BD27" s="54">
        <v>800</v>
      </c>
      <c r="BE27" s="54">
        <v>1000</v>
      </c>
      <c r="BF27" s="54">
        <v>1150</v>
      </c>
      <c r="BG27" s="54">
        <v>1250</v>
      </c>
      <c r="BH27" s="54">
        <v>1350</v>
      </c>
      <c r="BI27" s="54">
        <v>1600</v>
      </c>
      <c r="BJ27" s="72"/>
      <c r="BK27" s="68" t="s">
        <v>92</v>
      </c>
      <c r="BL27" s="24"/>
      <c r="BM27" s="62" t="s">
        <v>321</v>
      </c>
      <c r="BN27" s="54">
        <v>400</v>
      </c>
      <c r="BO27" s="54">
        <v>630</v>
      </c>
      <c r="BP27" s="54">
        <v>800</v>
      </c>
      <c r="BQ27" s="54">
        <v>1000</v>
      </c>
      <c r="BR27" s="54">
        <v>1150</v>
      </c>
      <c r="BS27" s="54">
        <v>1250</v>
      </c>
      <c r="BT27" s="54">
        <v>1350</v>
      </c>
      <c r="BU27" s="54">
        <v>1600</v>
      </c>
      <c r="BV27" s="68" t="s">
        <v>92</v>
      </c>
      <c r="BX27" s="62" t="s">
        <v>321</v>
      </c>
      <c r="BY27" s="54">
        <v>630</v>
      </c>
      <c r="BZ27" s="54">
        <v>800</v>
      </c>
      <c r="CA27" s="54">
        <v>1000</v>
      </c>
      <c r="CB27" s="72">
        <v>1150</v>
      </c>
      <c r="CC27" s="54">
        <v>1250</v>
      </c>
      <c r="CD27" s="54">
        <v>1350</v>
      </c>
      <c r="CE27" s="54">
        <v>1600</v>
      </c>
      <c r="CF27" s="68">
        <v>2000</v>
      </c>
    </row>
    <row r="28" spans="1:84" ht="12.75" customHeight="1">
      <c r="A28" s="13" t="s">
        <v>103</v>
      </c>
      <c r="B28" s="13" t="s">
        <v>91</v>
      </c>
      <c r="C28" s="13" t="s">
        <v>105</v>
      </c>
      <c r="D28" s="13" t="s">
        <v>11</v>
      </c>
      <c r="E28" s="13" t="s">
        <v>106</v>
      </c>
      <c r="F28" s="45" t="s">
        <v>87</v>
      </c>
      <c r="G28" s="45" t="s">
        <v>107</v>
      </c>
      <c r="H28" s="45" t="s">
        <v>108</v>
      </c>
      <c r="I28" s="59"/>
      <c r="J28" s="59"/>
      <c r="K28" s="59"/>
      <c r="N28" s="56" t="s">
        <v>34</v>
      </c>
      <c r="O28" s="19" t="s">
        <v>92</v>
      </c>
      <c r="P28" s="19" t="s">
        <v>92</v>
      </c>
      <c r="Q28" s="19" t="s">
        <v>92</v>
      </c>
      <c r="R28" s="19" t="s">
        <v>92</v>
      </c>
      <c r="S28" s="19" t="s">
        <v>92</v>
      </c>
      <c r="T28" s="19"/>
      <c r="U28" s="19"/>
      <c r="V28" s="19"/>
      <c r="W28" s="71"/>
      <c r="X28" s="24"/>
      <c r="Y28" s="56" t="s">
        <v>19</v>
      </c>
      <c r="Z28" s="19">
        <v>5900</v>
      </c>
      <c r="AA28" s="19">
        <v>6200</v>
      </c>
      <c r="AB28" s="19">
        <v>6500</v>
      </c>
      <c r="AC28" s="19"/>
      <c r="AD28" s="19"/>
      <c r="AE28" s="19"/>
      <c r="AF28" s="71"/>
      <c r="AH28" s="56" t="s">
        <v>34</v>
      </c>
      <c r="AI28" s="19" t="s">
        <v>92</v>
      </c>
      <c r="AJ28" s="19" t="s">
        <v>92</v>
      </c>
      <c r="AK28" s="19" t="s">
        <v>92</v>
      </c>
      <c r="AL28" s="19" t="s">
        <v>92</v>
      </c>
      <c r="AM28" s="19" t="s">
        <v>92</v>
      </c>
      <c r="AN28" s="19"/>
      <c r="AO28" s="71"/>
      <c r="AQ28" s="56" t="s">
        <v>19</v>
      </c>
      <c r="AR28" s="19">
        <v>5900</v>
      </c>
      <c r="AS28" s="19">
        <v>6200</v>
      </c>
      <c r="AT28" s="19">
        <v>6500</v>
      </c>
      <c r="AU28" s="19"/>
      <c r="AV28" s="19"/>
      <c r="AW28" s="19"/>
      <c r="AX28" s="71"/>
      <c r="BA28" s="56" t="s">
        <v>34</v>
      </c>
      <c r="BB28" s="19">
        <v>1000</v>
      </c>
      <c r="BC28" s="20">
        <f>IF('轿厢&gt;井道'!$B$25="GOST 33984.1","-",1100)</f>
        <v>1100</v>
      </c>
      <c r="BD28" s="19">
        <v>1350</v>
      </c>
      <c r="BE28" s="20">
        <f>IF('轿厢&gt;井道'!$B$25="GOST 33984.1",1100,1400)</f>
        <v>1400</v>
      </c>
      <c r="BF28" s="19">
        <v>1400</v>
      </c>
      <c r="BG28" s="19">
        <v>1400</v>
      </c>
      <c r="BH28" s="19">
        <v>1500</v>
      </c>
      <c r="BI28" s="19">
        <v>1700</v>
      </c>
      <c r="BJ28" s="73"/>
      <c r="BK28" s="71" t="s">
        <v>92</v>
      </c>
      <c r="BL28" s="24"/>
      <c r="BM28" s="56" t="s">
        <v>34</v>
      </c>
      <c r="BN28" s="19" t="s">
        <v>92</v>
      </c>
      <c r="BO28" s="19" t="s">
        <v>92</v>
      </c>
      <c r="BP28" s="19" t="s">
        <v>92</v>
      </c>
      <c r="BQ28" s="19" t="s">
        <v>92</v>
      </c>
      <c r="BR28" s="79" t="s">
        <v>92</v>
      </c>
      <c r="BS28" s="79" t="s">
        <v>92</v>
      </c>
      <c r="BT28" s="79" t="s">
        <v>92</v>
      </c>
      <c r="BU28" s="79" t="s">
        <v>92</v>
      </c>
      <c r="BV28" s="71" t="s">
        <v>92</v>
      </c>
      <c r="BX28" s="56" t="s">
        <v>34</v>
      </c>
      <c r="BY28" s="19">
        <v>1100</v>
      </c>
      <c r="BZ28" s="19">
        <v>1350</v>
      </c>
      <c r="CA28" s="19">
        <v>1400</v>
      </c>
      <c r="CB28" s="19">
        <v>1500</v>
      </c>
      <c r="CC28" s="19">
        <v>1600</v>
      </c>
      <c r="CD28" s="19">
        <v>1600</v>
      </c>
      <c r="CE28" s="19">
        <v>1700</v>
      </c>
      <c r="CF28" s="71" t="s">
        <v>92</v>
      </c>
    </row>
    <row r="29" spans="1:84" ht="12.75" customHeight="1">
      <c r="A29" s="48">
        <v>0.5</v>
      </c>
      <c r="B29" s="19">
        <v>60</v>
      </c>
      <c r="C29" s="19">
        <v>60</v>
      </c>
      <c r="D29" s="19">
        <v>60</v>
      </c>
      <c r="E29" s="19">
        <v>60</v>
      </c>
      <c r="F29" s="19" t="s">
        <v>92</v>
      </c>
      <c r="G29" s="19" t="s">
        <v>92</v>
      </c>
      <c r="H29" s="19" t="s">
        <v>92</v>
      </c>
      <c r="I29" s="24"/>
      <c r="J29" s="24"/>
      <c r="K29" s="24"/>
      <c r="N29" s="56" t="s">
        <v>19</v>
      </c>
      <c r="O29" s="19">
        <v>2100</v>
      </c>
      <c r="P29" s="19">
        <v>2100</v>
      </c>
      <c r="Q29" s="19">
        <v>2500</v>
      </c>
      <c r="R29" s="19">
        <v>2800</v>
      </c>
      <c r="S29" s="19">
        <v>3100</v>
      </c>
      <c r="T29" s="19"/>
      <c r="U29" s="19"/>
      <c r="V29" s="19"/>
      <c r="W29" s="71"/>
      <c r="Y29" s="56"/>
      <c r="Z29" s="19"/>
      <c r="AA29" s="19"/>
      <c r="AB29" s="19"/>
      <c r="AC29" s="19"/>
      <c r="AD29" s="19"/>
      <c r="AE29" s="19"/>
      <c r="AF29" s="71"/>
      <c r="AH29" s="56" t="s">
        <v>19</v>
      </c>
      <c r="AI29" s="19">
        <v>2100</v>
      </c>
      <c r="AJ29" s="19">
        <v>2100</v>
      </c>
      <c r="AK29" s="19">
        <v>2500</v>
      </c>
      <c r="AL29" s="19">
        <v>2800</v>
      </c>
      <c r="AM29" s="19">
        <v>3100</v>
      </c>
      <c r="AN29" s="19"/>
      <c r="AO29" s="71"/>
      <c r="AQ29" s="56"/>
      <c r="AR29" s="19"/>
      <c r="AS29" s="19"/>
      <c r="AT29" s="19"/>
      <c r="AU29" s="19"/>
      <c r="AV29" s="19"/>
      <c r="AW29" s="19"/>
      <c r="AX29" s="71"/>
      <c r="BA29" s="56" t="s">
        <v>19</v>
      </c>
      <c r="BB29" s="19" t="s">
        <v>92</v>
      </c>
      <c r="BC29" s="19">
        <v>1400</v>
      </c>
      <c r="BD29" s="20">
        <f>IF('轿厢&gt;井道'!$B$25="GOST 33984.1",1350,1400)</f>
        <v>1400</v>
      </c>
      <c r="BE29" s="20">
        <f>IF('轿厢&gt;井道'!$B$25="GOST 33984.1",2100,1400)</f>
        <v>1400</v>
      </c>
      <c r="BF29" s="19" t="s">
        <v>92</v>
      </c>
      <c r="BG29" s="19" t="s">
        <v>92</v>
      </c>
      <c r="BH29" s="19" t="s">
        <v>92</v>
      </c>
      <c r="BI29" s="20">
        <f>IF('轿厢&gt;井道'!$B$25="GOST 33984.1",2400,1700)</f>
        <v>1700</v>
      </c>
      <c r="BJ29" s="82"/>
      <c r="BK29" s="71" t="s">
        <v>92</v>
      </c>
      <c r="BL29" s="24"/>
      <c r="BM29" s="56" t="s">
        <v>19</v>
      </c>
      <c r="BN29" s="19">
        <v>1000</v>
      </c>
      <c r="BO29" s="19">
        <v>1400</v>
      </c>
      <c r="BP29" s="19">
        <v>1400</v>
      </c>
      <c r="BQ29" s="20">
        <f>IF('轿厢&gt;井道'!$B$25="GOST 33984.1",2100,1400)</f>
        <v>1400</v>
      </c>
      <c r="BR29" s="79">
        <v>1400</v>
      </c>
      <c r="BS29" s="79">
        <v>1400</v>
      </c>
      <c r="BT29" s="79">
        <v>1500</v>
      </c>
      <c r="BU29" s="79">
        <v>1700</v>
      </c>
      <c r="BV29" s="71" t="s">
        <v>92</v>
      </c>
      <c r="BX29" s="56" t="s">
        <v>19</v>
      </c>
      <c r="BY29" s="19">
        <v>1400</v>
      </c>
      <c r="BZ29" s="19">
        <v>1400</v>
      </c>
      <c r="CA29" s="19">
        <v>1600</v>
      </c>
      <c r="CB29" s="73">
        <v>1700</v>
      </c>
      <c r="CC29" s="19">
        <v>1700</v>
      </c>
      <c r="CD29" s="73">
        <v>1800</v>
      </c>
      <c r="CE29" s="19">
        <v>2000</v>
      </c>
      <c r="CF29" s="71">
        <v>2100</v>
      </c>
    </row>
    <row r="30" spans="1:84" ht="12.75" customHeight="1">
      <c r="A30" s="48">
        <v>1</v>
      </c>
      <c r="B30" s="19">
        <v>60</v>
      </c>
      <c r="C30" s="19">
        <v>60</v>
      </c>
      <c r="D30" s="19">
        <v>60</v>
      </c>
      <c r="E30" s="19">
        <v>60</v>
      </c>
      <c r="F30" s="19">
        <v>50</v>
      </c>
      <c r="G30" s="19">
        <v>50</v>
      </c>
      <c r="H30" s="19">
        <v>50</v>
      </c>
      <c r="I30" s="24"/>
      <c r="J30" s="24"/>
      <c r="K30" s="24"/>
      <c r="N30" s="58"/>
      <c r="O30" s="63"/>
      <c r="P30" s="63"/>
      <c r="Q30" s="24"/>
      <c r="R30" s="63"/>
      <c r="S30" s="63"/>
      <c r="T30" s="24"/>
      <c r="U30" s="24"/>
      <c r="V30" s="24"/>
      <c r="W30" s="70"/>
      <c r="Y30" s="58"/>
      <c r="Z30" s="24"/>
      <c r="AA30" s="24"/>
      <c r="AB30" s="24"/>
      <c r="AC30" s="24"/>
      <c r="AD30" s="24"/>
      <c r="AE30" s="24"/>
      <c r="AF30" s="74"/>
      <c r="AH30" s="64"/>
      <c r="AI30" s="24"/>
      <c r="AJ30" s="24"/>
      <c r="AK30" s="24"/>
      <c r="AL30" s="24"/>
      <c r="AM30" s="24"/>
      <c r="AN30" s="24"/>
      <c r="AO30" s="70"/>
      <c r="AQ30" s="64"/>
      <c r="AR30" s="24"/>
      <c r="AS30" s="24"/>
      <c r="AT30" s="24"/>
      <c r="AU30" s="24"/>
      <c r="AV30" s="24"/>
      <c r="AW30" s="24"/>
      <c r="AX30" s="70"/>
      <c r="BA30" s="58"/>
      <c r="BB30" s="24"/>
      <c r="BC30" s="24"/>
      <c r="BD30" s="24"/>
      <c r="BE30" s="24"/>
      <c r="BF30" s="81"/>
      <c r="BG30" s="81"/>
      <c r="BH30" s="81"/>
      <c r="BI30" s="24"/>
      <c r="BJ30" s="24"/>
      <c r="BK30" s="70"/>
      <c r="BL30" s="24"/>
      <c r="BM30" s="58"/>
      <c r="BN30" s="24"/>
      <c r="BO30" s="24"/>
      <c r="BP30" s="24"/>
      <c r="BQ30" s="24"/>
      <c r="BR30" s="81"/>
      <c r="BS30" s="81"/>
      <c r="BT30" s="81"/>
      <c r="BU30" s="81"/>
      <c r="BV30" s="70"/>
      <c r="BX30" s="58"/>
      <c r="BY30" s="24"/>
      <c r="BZ30" s="24"/>
      <c r="CA30" s="24"/>
      <c r="CB30" s="24"/>
      <c r="CC30" s="24"/>
      <c r="CD30" s="24"/>
      <c r="CE30" s="24"/>
      <c r="CF30" s="70"/>
    </row>
    <row r="31" spans="1:84" ht="12.75" customHeight="1">
      <c r="A31" s="48">
        <v>1.5</v>
      </c>
      <c r="B31" s="19" t="s">
        <v>92</v>
      </c>
      <c r="C31" s="19" t="s">
        <v>92</v>
      </c>
      <c r="D31" s="19" t="s">
        <v>92</v>
      </c>
      <c r="E31" s="19" t="s">
        <v>92</v>
      </c>
      <c r="F31" s="19">
        <v>75</v>
      </c>
      <c r="G31" s="19">
        <v>75</v>
      </c>
      <c r="H31" s="19">
        <v>75</v>
      </c>
      <c r="I31" s="24"/>
      <c r="J31" s="24"/>
      <c r="K31" s="24"/>
      <c r="N31" s="52" t="s">
        <v>324</v>
      </c>
      <c r="O31" s="18"/>
      <c r="P31" s="18"/>
      <c r="Q31" s="18"/>
      <c r="R31" s="18"/>
      <c r="S31" s="18"/>
      <c r="T31" s="18"/>
      <c r="U31" s="18"/>
      <c r="V31" s="18"/>
      <c r="W31" s="67"/>
      <c r="Y31" s="52" t="s">
        <v>324</v>
      </c>
      <c r="Z31" s="18"/>
      <c r="AA31" s="18"/>
      <c r="AB31" s="18"/>
      <c r="AC31" s="18"/>
      <c r="AD31" s="18"/>
      <c r="AE31" s="18"/>
      <c r="AF31" s="67"/>
      <c r="AH31" s="52" t="s">
        <v>324</v>
      </c>
      <c r="AI31" s="18"/>
      <c r="AJ31" s="18"/>
      <c r="AK31" s="18"/>
      <c r="AL31" s="18"/>
      <c r="AM31" s="18"/>
      <c r="AN31" s="18"/>
      <c r="AO31" s="70"/>
      <c r="AQ31" s="52" t="s">
        <v>324</v>
      </c>
      <c r="AR31" s="18"/>
      <c r="AS31" s="18"/>
      <c r="AT31" s="18"/>
      <c r="AU31" s="18"/>
      <c r="AV31" s="18"/>
      <c r="AW31" s="18"/>
      <c r="AX31" s="70"/>
      <c r="BA31" s="52" t="s">
        <v>324</v>
      </c>
      <c r="BB31" s="24"/>
      <c r="BC31" s="24"/>
      <c r="BD31" s="24"/>
      <c r="BE31" s="24"/>
      <c r="BF31" s="81"/>
      <c r="BG31" s="81"/>
      <c r="BH31" s="81"/>
      <c r="BI31" s="24"/>
      <c r="BJ31" s="24"/>
      <c r="BK31" s="70"/>
      <c r="BL31" s="24"/>
      <c r="BM31" s="52" t="s">
        <v>324</v>
      </c>
      <c r="BN31" s="24"/>
      <c r="BO31" s="24"/>
      <c r="BP31" s="24"/>
      <c r="BQ31" s="24"/>
      <c r="BR31" s="81"/>
      <c r="BS31" s="81"/>
      <c r="BT31" s="81"/>
      <c r="BU31" s="81"/>
      <c r="BV31" s="70"/>
      <c r="BX31" s="52" t="s">
        <v>324</v>
      </c>
      <c r="BY31" s="24"/>
      <c r="BZ31" s="24"/>
      <c r="CA31" s="24"/>
      <c r="CB31" s="24"/>
      <c r="CC31" s="24"/>
      <c r="CD31" s="24"/>
      <c r="CE31" s="24"/>
      <c r="CF31" s="70"/>
    </row>
    <row r="32" spans="1:84" ht="12.75" customHeight="1">
      <c r="A32" s="48">
        <v>1.6</v>
      </c>
      <c r="B32" s="19" t="s">
        <v>92</v>
      </c>
      <c r="C32" s="19" t="s">
        <v>92</v>
      </c>
      <c r="D32" s="19" t="s">
        <v>92</v>
      </c>
      <c r="E32" s="19" t="s">
        <v>92</v>
      </c>
      <c r="F32" s="19">
        <v>75</v>
      </c>
      <c r="G32" s="19">
        <v>75</v>
      </c>
      <c r="H32" s="19">
        <v>75</v>
      </c>
      <c r="I32" s="24"/>
      <c r="J32" s="24"/>
      <c r="K32" s="24"/>
      <c r="N32" s="62" t="s">
        <v>321</v>
      </c>
      <c r="O32" s="54">
        <v>1600</v>
      </c>
      <c r="P32" s="54">
        <v>2000</v>
      </c>
      <c r="Q32" s="54">
        <v>3000</v>
      </c>
      <c r="R32" s="54">
        <v>4000</v>
      </c>
      <c r="S32" s="54">
        <v>5000</v>
      </c>
      <c r="T32" s="54"/>
      <c r="U32" s="54"/>
      <c r="V32" s="54"/>
      <c r="W32" s="68"/>
      <c r="X32" s="24"/>
      <c r="Y32" s="62" t="s">
        <v>321</v>
      </c>
      <c r="Z32" s="54">
        <v>3000</v>
      </c>
      <c r="AA32" s="54">
        <v>4000</v>
      </c>
      <c r="AB32" s="54">
        <v>5000</v>
      </c>
      <c r="AC32" s="54"/>
      <c r="AD32" s="54"/>
      <c r="AE32" s="54"/>
      <c r="AF32" s="68"/>
      <c r="AH32" s="62" t="s">
        <v>321</v>
      </c>
      <c r="AI32" s="54">
        <v>1600</v>
      </c>
      <c r="AJ32" s="54">
        <v>2000</v>
      </c>
      <c r="AK32" s="54">
        <v>3000</v>
      </c>
      <c r="AL32" s="54">
        <v>4000</v>
      </c>
      <c r="AM32" s="54">
        <v>5000</v>
      </c>
      <c r="AN32" s="54"/>
      <c r="AO32" s="68"/>
      <c r="AQ32" s="62" t="s">
        <v>321</v>
      </c>
      <c r="AR32" s="54">
        <v>3000</v>
      </c>
      <c r="AS32" s="54">
        <v>4000</v>
      </c>
      <c r="AT32" s="54">
        <v>5000</v>
      </c>
      <c r="AU32" s="54"/>
      <c r="AV32" s="54"/>
      <c r="AW32" s="54"/>
      <c r="AX32" s="68"/>
      <c r="BA32" s="62" t="s">
        <v>321</v>
      </c>
      <c r="BB32" s="54">
        <v>400</v>
      </c>
      <c r="BC32" s="54">
        <v>630</v>
      </c>
      <c r="BD32" s="54">
        <v>800</v>
      </c>
      <c r="BE32" s="54">
        <v>1000</v>
      </c>
      <c r="BF32" s="54">
        <v>1150</v>
      </c>
      <c r="BG32" s="54">
        <v>1250</v>
      </c>
      <c r="BH32" s="54">
        <v>1350</v>
      </c>
      <c r="BI32" s="54">
        <v>1600</v>
      </c>
      <c r="BJ32" s="72"/>
      <c r="BK32" s="68" t="s">
        <v>92</v>
      </c>
      <c r="BL32" s="24"/>
      <c r="BM32" s="62" t="s">
        <v>321</v>
      </c>
      <c r="BN32" s="54">
        <v>400</v>
      </c>
      <c r="BO32" s="54">
        <v>630</v>
      </c>
      <c r="BP32" s="54">
        <v>800</v>
      </c>
      <c r="BQ32" s="54">
        <v>1000</v>
      </c>
      <c r="BR32" s="54">
        <v>1150</v>
      </c>
      <c r="BS32" s="54">
        <v>1250</v>
      </c>
      <c r="BT32" s="54">
        <v>1350</v>
      </c>
      <c r="BU32" s="54">
        <v>1600</v>
      </c>
      <c r="BV32" s="68" t="s">
        <v>92</v>
      </c>
      <c r="BX32" s="62" t="s">
        <v>321</v>
      </c>
      <c r="BY32" s="54">
        <v>630</v>
      </c>
      <c r="BZ32" s="54">
        <v>800</v>
      </c>
      <c r="CA32" s="54">
        <v>1000</v>
      </c>
      <c r="CB32" s="72">
        <v>1150</v>
      </c>
      <c r="CC32" s="54">
        <v>1250</v>
      </c>
      <c r="CD32" s="54">
        <v>1350</v>
      </c>
      <c r="CE32" s="54">
        <v>1600</v>
      </c>
      <c r="CF32" s="68">
        <v>2000</v>
      </c>
    </row>
    <row r="33" spans="1:84" ht="12.75" customHeight="1">
      <c r="A33" s="48">
        <v>1.75</v>
      </c>
      <c r="B33" s="19" t="s">
        <v>92</v>
      </c>
      <c r="C33" s="19" t="s">
        <v>92</v>
      </c>
      <c r="D33" s="19" t="s">
        <v>92</v>
      </c>
      <c r="E33" s="19" t="s">
        <v>92</v>
      </c>
      <c r="F33" s="19">
        <v>90</v>
      </c>
      <c r="G33" s="19">
        <v>90</v>
      </c>
      <c r="H33" s="19">
        <v>90</v>
      </c>
      <c r="I33" s="24"/>
      <c r="J33" s="24"/>
      <c r="K33" s="24"/>
      <c r="N33" s="56" t="s">
        <v>34</v>
      </c>
      <c r="O33" s="19" t="s">
        <v>92</v>
      </c>
      <c r="P33" s="19" t="s">
        <v>92</v>
      </c>
      <c r="Q33" s="19" t="s">
        <v>92</v>
      </c>
      <c r="R33" s="19" t="s">
        <v>92</v>
      </c>
      <c r="S33" s="19" t="s">
        <v>92</v>
      </c>
      <c r="T33" s="19"/>
      <c r="U33" s="19"/>
      <c r="V33" s="19"/>
      <c r="W33" s="71"/>
      <c r="X33" s="24"/>
      <c r="Y33" s="56" t="s">
        <v>19</v>
      </c>
      <c r="Z33" s="19">
        <v>2500</v>
      </c>
      <c r="AA33" s="19">
        <v>2500</v>
      </c>
      <c r="AB33" s="19">
        <v>2500</v>
      </c>
      <c r="AC33" s="19"/>
      <c r="AD33" s="19"/>
      <c r="AE33" s="19"/>
      <c r="AF33" s="71"/>
      <c r="AH33" s="56" t="s">
        <v>34</v>
      </c>
      <c r="AI33" s="19" t="s">
        <v>92</v>
      </c>
      <c r="AJ33" s="19" t="s">
        <v>92</v>
      </c>
      <c r="AK33" s="19" t="s">
        <v>92</v>
      </c>
      <c r="AL33" s="19" t="s">
        <v>92</v>
      </c>
      <c r="AM33" s="19" t="s">
        <v>92</v>
      </c>
      <c r="AN33" s="19"/>
      <c r="AO33" s="71"/>
      <c r="AQ33" s="56" t="s">
        <v>19</v>
      </c>
      <c r="AR33" s="19">
        <v>2500</v>
      </c>
      <c r="AS33" s="19">
        <v>2500</v>
      </c>
      <c r="AT33" s="19">
        <v>2500</v>
      </c>
      <c r="AU33" s="19"/>
      <c r="AV33" s="19"/>
      <c r="AW33" s="19"/>
      <c r="AX33" s="71"/>
      <c r="BA33" s="56" t="s">
        <v>34</v>
      </c>
      <c r="BB33" s="19">
        <v>700</v>
      </c>
      <c r="BC33" s="20">
        <f>IF('轿厢&gt;井道'!$B$25="GOST 33984.1","-",800)</f>
        <v>800</v>
      </c>
      <c r="BD33" s="20">
        <f>IF('轿厢&gt;井道'!$B$25="GOST 33984.1",900,800)</f>
        <v>800</v>
      </c>
      <c r="BE33" s="82">
        <f>IF('轿厢&gt;井道'!$B$25="GOST 33984.1",1200,900)</f>
        <v>900</v>
      </c>
      <c r="BF33" s="19">
        <v>1100</v>
      </c>
      <c r="BG33" s="19">
        <v>1100</v>
      </c>
      <c r="BH33" s="19">
        <v>1100</v>
      </c>
      <c r="BI33" s="19">
        <v>1100</v>
      </c>
      <c r="BJ33" s="73"/>
      <c r="BK33" s="71" t="s">
        <v>92</v>
      </c>
      <c r="BL33" s="24"/>
      <c r="BM33" s="56" t="s">
        <v>34</v>
      </c>
      <c r="BN33" s="19" t="s">
        <v>92</v>
      </c>
      <c r="BO33" s="19" t="s">
        <v>92</v>
      </c>
      <c r="BP33" s="19" t="s">
        <v>92</v>
      </c>
      <c r="BQ33" s="19" t="s">
        <v>92</v>
      </c>
      <c r="BR33" s="79" t="s">
        <v>92</v>
      </c>
      <c r="BS33" s="79" t="s">
        <v>92</v>
      </c>
      <c r="BT33" s="79" t="s">
        <v>92</v>
      </c>
      <c r="BU33" s="79" t="s">
        <v>92</v>
      </c>
      <c r="BV33" s="71" t="s">
        <v>92</v>
      </c>
      <c r="BX33" s="56" t="s">
        <v>34</v>
      </c>
      <c r="BY33" s="19">
        <v>800</v>
      </c>
      <c r="BZ33" s="19">
        <v>800</v>
      </c>
      <c r="CA33" s="19">
        <v>900</v>
      </c>
      <c r="CB33" s="73">
        <v>1000</v>
      </c>
      <c r="CC33" s="19">
        <v>1000</v>
      </c>
      <c r="CD33" s="73">
        <v>1100</v>
      </c>
      <c r="CE33" s="19">
        <v>1100</v>
      </c>
      <c r="CF33" s="71" t="s">
        <v>92</v>
      </c>
    </row>
    <row r="34" spans="1:84" ht="12.75" customHeight="1">
      <c r="A34" s="48">
        <v>2</v>
      </c>
      <c r="B34" s="19" t="s">
        <v>92</v>
      </c>
      <c r="C34" s="19" t="s">
        <v>92</v>
      </c>
      <c r="D34" s="19" t="s">
        <v>92</v>
      </c>
      <c r="E34" s="19" t="s">
        <v>92</v>
      </c>
      <c r="F34" s="19">
        <v>110</v>
      </c>
      <c r="G34" s="19">
        <v>110</v>
      </c>
      <c r="H34" s="19">
        <v>110</v>
      </c>
      <c r="I34" s="24"/>
      <c r="J34" s="24"/>
      <c r="K34" s="24"/>
      <c r="N34" s="56" t="s">
        <v>19</v>
      </c>
      <c r="O34" s="19">
        <v>1300</v>
      </c>
      <c r="P34" s="19">
        <v>1600</v>
      </c>
      <c r="Q34" s="19">
        <v>1800</v>
      </c>
      <c r="R34" s="19">
        <v>2100</v>
      </c>
      <c r="S34" s="19">
        <v>2400</v>
      </c>
      <c r="T34" s="19"/>
      <c r="U34" s="19"/>
      <c r="V34" s="19"/>
      <c r="W34" s="71"/>
      <c r="Y34" s="56"/>
      <c r="Z34" s="19"/>
      <c r="AA34" s="19"/>
      <c r="AB34" s="19"/>
      <c r="AC34" s="19"/>
      <c r="AD34" s="19"/>
      <c r="AE34" s="19"/>
      <c r="AF34" s="71"/>
      <c r="AH34" s="56" t="s">
        <v>19</v>
      </c>
      <c r="AI34" s="19">
        <v>1300</v>
      </c>
      <c r="AJ34" s="19">
        <v>1600</v>
      </c>
      <c r="AK34" s="19">
        <v>1800</v>
      </c>
      <c r="AL34" s="19">
        <v>2100</v>
      </c>
      <c r="AM34" s="19">
        <v>2400</v>
      </c>
      <c r="AN34" s="19"/>
      <c r="AO34" s="71"/>
      <c r="AQ34" s="56"/>
      <c r="AR34" s="19"/>
      <c r="AS34" s="19"/>
      <c r="AT34" s="19"/>
      <c r="AU34" s="19"/>
      <c r="AV34" s="19"/>
      <c r="AW34" s="19"/>
      <c r="AX34" s="71"/>
      <c r="BA34" s="56" t="s">
        <v>19</v>
      </c>
      <c r="BB34" s="19" t="s">
        <v>92</v>
      </c>
      <c r="BC34" s="19">
        <v>800</v>
      </c>
      <c r="BD34" s="20">
        <f>IF('轿厢&gt;井道'!$B$25="GOST 33984.1",900,800)</f>
        <v>800</v>
      </c>
      <c r="BE34" s="73">
        <v>900</v>
      </c>
      <c r="BF34" s="19">
        <v>1100</v>
      </c>
      <c r="BG34" s="19">
        <v>1100</v>
      </c>
      <c r="BH34" s="19">
        <v>1100</v>
      </c>
      <c r="BI34" s="19">
        <v>1100</v>
      </c>
      <c r="BJ34" s="73"/>
      <c r="BK34" s="71" t="s">
        <v>92</v>
      </c>
      <c r="BL34" s="24"/>
      <c r="BM34" s="56" t="s">
        <v>19</v>
      </c>
      <c r="BN34" s="19">
        <v>700</v>
      </c>
      <c r="BO34" s="19">
        <v>800</v>
      </c>
      <c r="BP34" s="20">
        <f>IF('轿厢&gt;井道'!$B$25="GOST 33984.1",900,800)</f>
        <v>800</v>
      </c>
      <c r="BQ34" s="19">
        <v>900</v>
      </c>
      <c r="BR34" s="79">
        <v>1000</v>
      </c>
      <c r="BS34" s="86">
        <v>1100</v>
      </c>
      <c r="BT34" s="86">
        <v>1100</v>
      </c>
      <c r="BU34" s="86">
        <v>1100</v>
      </c>
      <c r="BV34" s="71" t="s">
        <v>92</v>
      </c>
      <c r="BX34" s="56" t="s">
        <v>19</v>
      </c>
      <c r="BY34" s="19">
        <v>800</v>
      </c>
      <c r="BZ34" s="19">
        <v>800</v>
      </c>
      <c r="CA34" s="19">
        <v>900</v>
      </c>
      <c r="CB34" s="73">
        <v>1000</v>
      </c>
      <c r="CC34" s="19">
        <v>1000</v>
      </c>
      <c r="CD34" s="73">
        <v>1100</v>
      </c>
      <c r="CE34" s="19">
        <v>1100</v>
      </c>
      <c r="CF34" s="71">
        <v>1200</v>
      </c>
    </row>
    <row r="35" spans="1:84" ht="12.75" customHeight="1">
      <c r="A35" s="48">
        <v>2.5</v>
      </c>
      <c r="B35" s="19" t="s">
        <v>92</v>
      </c>
      <c r="C35" s="19" t="s">
        <v>92</v>
      </c>
      <c r="D35" s="19" t="s">
        <v>92</v>
      </c>
      <c r="E35" s="19" t="s">
        <v>92</v>
      </c>
      <c r="F35" s="19">
        <v>125</v>
      </c>
      <c r="G35" s="19">
        <v>125</v>
      </c>
      <c r="H35" s="19">
        <v>125</v>
      </c>
      <c r="I35" s="24"/>
      <c r="J35" s="24"/>
      <c r="K35" s="24"/>
      <c r="N35" s="64"/>
      <c r="W35" s="69"/>
      <c r="X35" s="24"/>
      <c r="Y35" s="58"/>
      <c r="Z35" s="24"/>
      <c r="AA35" s="24"/>
      <c r="AB35" s="24"/>
      <c r="AC35" s="24"/>
      <c r="AD35" s="24"/>
      <c r="AE35" s="24"/>
      <c r="AF35" s="70"/>
      <c r="AH35" s="75"/>
      <c r="AI35" s="24"/>
      <c r="AJ35" s="24"/>
      <c r="AK35" s="24"/>
      <c r="AL35" s="24"/>
      <c r="AM35" s="24"/>
      <c r="AN35" s="24"/>
      <c r="AO35" s="70"/>
      <c r="AQ35" s="75"/>
      <c r="AR35" s="24"/>
      <c r="AS35" s="24"/>
      <c r="AT35" s="24"/>
      <c r="AU35" s="24"/>
      <c r="AV35" s="24"/>
      <c r="AW35" s="24"/>
      <c r="AX35" s="70"/>
      <c r="BA35" s="76"/>
      <c r="BB35" s="24"/>
      <c r="BC35" s="24"/>
      <c r="BD35" s="24"/>
      <c r="BE35" s="24"/>
      <c r="BF35" s="81"/>
      <c r="BG35" s="81"/>
      <c r="BH35" s="81"/>
      <c r="BI35" s="24"/>
      <c r="BJ35" s="24"/>
      <c r="BK35" s="70"/>
      <c r="BL35" s="24"/>
      <c r="BM35" s="76"/>
      <c r="BN35" s="24"/>
      <c r="BO35" s="24"/>
      <c r="BP35" s="24"/>
      <c r="BQ35" s="24"/>
      <c r="BR35" s="81"/>
      <c r="BS35" s="81"/>
      <c r="BT35" s="81"/>
      <c r="BU35" s="81"/>
      <c r="BV35" s="70"/>
      <c r="BX35" s="76"/>
      <c r="BY35" s="24"/>
      <c r="BZ35" s="24"/>
      <c r="CA35" s="24"/>
      <c r="CB35" s="24"/>
      <c r="CC35" s="24"/>
      <c r="CD35" s="24"/>
      <c r="CE35" s="24"/>
      <c r="CF35" s="70"/>
    </row>
    <row r="36" spans="1:84" ht="12.75" customHeight="1">
      <c r="A36" s="48">
        <v>3</v>
      </c>
      <c r="B36" s="19" t="s">
        <v>92</v>
      </c>
      <c r="C36" s="19" t="s">
        <v>92</v>
      </c>
      <c r="D36" s="19" t="s">
        <v>92</v>
      </c>
      <c r="E36" s="19" t="s">
        <v>92</v>
      </c>
      <c r="F36" s="19" t="s">
        <v>92</v>
      </c>
      <c r="G36" s="19" t="s">
        <v>92</v>
      </c>
      <c r="H36" s="19" t="s">
        <v>92</v>
      </c>
      <c r="I36" s="24"/>
      <c r="J36" s="24"/>
      <c r="K36" s="24"/>
      <c r="N36" s="52" t="s">
        <v>325</v>
      </c>
      <c r="O36" s="18"/>
      <c r="P36" s="18"/>
      <c r="Q36" s="18"/>
      <c r="R36" s="18"/>
      <c r="S36" s="18"/>
      <c r="T36" s="18"/>
      <c r="U36" s="18"/>
      <c r="V36" s="18"/>
      <c r="W36" s="67"/>
      <c r="X36" s="24"/>
      <c r="Y36" s="52" t="s">
        <v>326</v>
      </c>
      <c r="Z36" s="18"/>
      <c r="AA36" s="18"/>
      <c r="AB36" s="18"/>
      <c r="AC36" s="18"/>
      <c r="AD36" s="18"/>
      <c r="AE36" s="18"/>
      <c r="AF36" s="67"/>
      <c r="AH36" s="52" t="s">
        <v>325</v>
      </c>
      <c r="AI36" s="18"/>
      <c r="AJ36" s="18"/>
      <c r="AK36" s="18"/>
      <c r="AL36" s="18"/>
      <c r="AM36" s="18"/>
      <c r="AN36" s="18"/>
      <c r="AO36" s="70"/>
      <c r="AQ36" s="52" t="s">
        <v>325</v>
      </c>
      <c r="AR36" s="18"/>
      <c r="AS36" s="18"/>
      <c r="AT36" s="18"/>
      <c r="AU36" s="18"/>
      <c r="AV36" s="18"/>
      <c r="AW36" s="18"/>
      <c r="AX36" s="70"/>
      <c r="BA36" s="52" t="s">
        <v>325</v>
      </c>
      <c r="BB36" s="24"/>
      <c r="BC36" s="24"/>
      <c r="BD36" s="24"/>
      <c r="BE36" s="24"/>
      <c r="BF36" s="81"/>
      <c r="BG36" s="81"/>
      <c r="BH36" s="81"/>
      <c r="BI36" s="24"/>
      <c r="BJ36" s="24"/>
      <c r="BK36" s="70"/>
      <c r="BL36" s="24"/>
      <c r="BM36" s="52" t="s">
        <v>325</v>
      </c>
      <c r="BN36" s="24"/>
      <c r="BO36" s="24"/>
      <c r="BP36" s="24"/>
      <c r="BQ36" s="24"/>
      <c r="BR36" s="81"/>
      <c r="BS36" s="81"/>
      <c r="BT36" s="81"/>
      <c r="BU36" s="81"/>
      <c r="BV36" s="70"/>
      <c r="BX36" s="52" t="s">
        <v>325</v>
      </c>
      <c r="BY36" s="24"/>
      <c r="BZ36" s="24"/>
      <c r="CA36" s="24"/>
      <c r="CB36" s="24"/>
      <c r="CC36" s="24"/>
      <c r="CD36" s="24"/>
      <c r="CE36" s="24"/>
      <c r="CF36" s="70"/>
    </row>
    <row r="37" spans="1:84" ht="12.75" customHeight="1">
      <c r="A37" s="48">
        <v>3.5</v>
      </c>
      <c r="B37" s="19" t="s">
        <v>92</v>
      </c>
      <c r="C37" s="19" t="s">
        <v>92</v>
      </c>
      <c r="D37" s="19" t="s">
        <v>92</v>
      </c>
      <c r="E37" s="19" t="s">
        <v>92</v>
      </c>
      <c r="F37" s="19" t="s">
        <v>92</v>
      </c>
      <c r="G37" s="19" t="s">
        <v>92</v>
      </c>
      <c r="H37" s="19" t="s">
        <v>92</v>
      </c>
      <c r="I37" s="24"/>
      <c r="J37" s="24"/>
      <c r="K37" s="24"/>
      <c r="N37" s="62" t="s">
        <v>321</v>
      </c>
      <c r="O37" s="54">
        <v>1600</v>
      </c>
      <c r="P37" s="54">
        <v>2000</v>
      </c>
      <c r="Q37" s="54">
        <v>3000</v>
      </c>
      <c r="R37" s="54">
        <v>4000</v>
      </c>
      <c r="S37" s="54">
        <v>5000</v>
      </c>
      <c r="T37" s="54"/>
      <c r="U37" s="54"/>
      <c r="V37" s="54"/>
      <c r="W37" s="68"/>
      <c r="X37" s="24"/>
      <c r="Y37" s="62" t="s">
        <v>321</v>
      </c>
      <c r="Z37" s="54">
        <v>3000</v>
      </c>
      <c r="AA37" s="54">
        <v>4000</v>
      </c>
      <c r="AB37" s="54">
        <v>5000</v>
      </c>
      <c r="AC37" s="54"/>
      <c r="AD37" s="54"/>
      <c r="AE37" s="54"/>
      <c r="AF37" s="68"/>
      <c r="AH37" s="62" t="s">
        <v>321</v>
      </c>
      <c r="AI37" s="54">
        <v>1600</v>
      </c>
      <c r="AJ37" s="54">
        <v>2000</v>
      </c>
      <c r="AK37" s="54">
        <v>3000</v>
      </c>
      <c r="AL37" s="54">
        <v>4000</v>
      </c>
      <c r="AM37" s="54">
        <v>5000</v>
      </c>
      <c r="AN37" s="54"/>
      <c r="AO37" s="68"/>
      <c r="AQ37" s="62" t="s">
        <v>321</v>
      </c>
      <c r="AR37" s="54">
        <v>3000</v>
      </c>
      <c r="AS37" s="54">
        <v>4000</v>
      </c>
      <c r="AT37" s="54">
        <v>5000</v>
      </c>
      <c r="AU37" s="54"/>
      <c r="AV37" s="54"/>
      <c r="AW37" s="54"/>
      <c r="AX37" s="68"/>
      <c r="BA37" s="62" t="s">
        <v>321</v>
      </c>
      <c r="BB37" s="54">
        <v>400</v>
      </c>
      <c r="BC37" s="54">
        <v>630</v>
      </c>
      <c r="BD37" s="54">
        <v>800</v>
      </c>
      <c r="BE37" s="54">
        <v>1000</v>
      </c>
      <c r="BF37" s="54">
        <v>1150</v>
      </c>
      <c r="BG37" s="54">
        <v>1250</v>
      </c>
      <c r="BH37" s="54">
        <v>1350</v>
      </c>
      <c r="BI37" s="54">
        <v>1600</v>
      </c>
      <c r="BJ37" s="72"/>
      <c r="BK37" s="68" t="s">
        <v>92</v>
      </c>
      <c r="BL37" s="24"/>
      <c r="BM37" s="62" t="s">
        <v>321</v>
      </c>
      <c r="BN37" s="54">
        <v>400</v>
      </c>
      <c r="BO37" s="54">
        <v>630</v>
      </c>
      <c r="BP37" s="54">
        <v>800</v>
      </c>
      <c r="BQ37" s="54">
        <v>1000</v>
      </c>
      <c r="BR37" s="54">
        <v>1150</v>
      </c>
      <c r="BS37" s="54">
        <v>1250</v>
      </c>
      <c r="BT37" s="54">
        <v>1350</v>
      </c>
      <c r="BU37" s="54">
        <v>1600</v>
      </c>
      <c r="BV37" s="68" t="s">
        <v>92</v>
      </c>
      <c r="BX37" s="62" t="s">
        <v>321</v>
      </c>
      <c r="BY37" s="54">
        <v>630</v>
      </c>
      <c r="BZ37" s="54">
        <v>800</v>
      </c>
      <c r="CA37" s="54">
        <v>1000</v>
      </c>
      <c r="CB37" s="72">
        <v>1150</v>
      </c>
      <c r="CC37" s="54">
        <v>1250</v>
      </c>
      <c r="CD37" s="54">
        <v>1350</v>
      </c>
      <c r="CE37" s="54">
        <v>1600</v>
      </c>
      <c r="CF37" s="68">
        <v>2000</v>
      </c>
    </row>
    <row r="38" spans="1:84" ht="12.75" customHeight="1">
      <c r="A38" s="48">
        <v>4</v>
      </c>
      <c r="B38" s="19" t="s">
        <v>92</v>
      </c>
      <c r="C38" s="19" t="s">
        <v>92</v>
      </c>
      <c r="D38" s="19" t="s">
        <v>92</v>
      </c>
      <c r="E38" s="19" t="s">
        <v>92</v>
      </c>
      <c r="F38" s="19" t="s">
        <v>92</v>
      </c>
      <c r="G38" s="19" t="s">
        <v>92</v>
      </c>
      <c r="H38" s="19" t="s">
        <v>92</v>
      </c>
      <c r="I38" s="24"/>
      <c r="J38" s="24"/>
      <c r="K38" s="24"/>
      <c r="N38" s="56" t="s">
        <v>34</v>
      </c>
      <c r="O38" s="19" t="s">
        <v>92</v>
      </c>
      <c r="P38" s="19" t="s">
        <v>92</v>
      </c>
      <c r="Q38" s="19" t="s">
        <v>92</v>
      </c>
      <c r="R38" s="19" t="s">
        <v>92</v>
      </c>
      <c r="S38" s="19" t="s">
        <v>92</v>
      </c>
      <c r="T38" s="19"/>
      <c r="U38" s="19"/>
      <c r="V38" s="19"/>
      <c r="W38" s="71"/>
      <c r="X38" s="24"/>
      <c r="Y38" s="56" t="s">
        <v>34</v>
      </c>
      <c r="Z38" s="19" t="s">
        <v>92</v>
      </c>
      <c r="AA38" s="19" t="s">
        <v>92</v>
      </c>
      <c r="AB38" s="19" t="s">
        <v>92</v>
      </c>
      <c r="AC38" s="19"/>
      <c r="AD38" s="19"/>
      <c r="AE38" s="19"/>
      <c r="AF38" s="71"/>
      <c r="AH38" s="56" t="s">
        <v>34</v>
      </c>
      <c r="AI38" s="19" t="s">
        <v>92</v>
      </c>
      <c r="AJ38" s="19" t="s">
        <v>92</v>
      </c>
      <c r="AK38" s="19" t="s">
        <v>92</v>
      </c>
      <c r="AL38" s="19" t="s">
        <v>92</v>
      </c>
      <c r="AM38" s="19" t="s">
        <v>92</v>
      </c>
      <c r="AN38" s="19"/>
      <c r="AO38" s="71"/>
      <c r="AQ38" s="56" t="s">
        <v>34</v>
      </c>
      <c r="AR38" s="19" t="s">
        <v>92</v>
      </c>
      <c r="AS38" s="19" t="s">
        <v>92</v>
      </c>
      <c r="AT38" s="19" t="s">
        <v>92</v>
      </c>
      <c r="AU38" s="19"/>
      <c r="AV38" s="19"/>
      <c r="AW38" s="19"/>
      <c r="AX38" s="71"/>
      <c r="BA38" s="56" t="s">
        <v>34</v>
      </c>
      <c r="BB38" s="31">
        <f>IF(BB23+550&lt;1550,1550,BB23+550)</f>
        <v>1550</v>
      </c>
      <c r="BC38" s="31">
        <f>IF('轿厢&gt;井道'!$B$25="GOST 33984.1","-",IF(BC23+400&lt;1820,1820,BC23+400))</f>
        <v>1820</v>
      </c>
      <c r="BD38" s="31">
        <f>IF('轿厢&gt;井道'!$B$25="GOST 33984.1",IF(BD23+370&lt;1800,1800,BD23+370),IF(BD23+400&lt;1820,1820,BD23+400))</f>
        <v>1820</v>
      </c>
      <c r="BE38" s="31">
        <f>IF('轿厢&gt;井道'!$B$25="GOST 33984.1",IF(BE23+370&lt;1800,1800,BE23+370),IF(BE23+400&lt;1820,1820,BE23+400))</f>
        <v>2000</v>
      </c>
      <c r="BF38" s="83">
        <f>IF('轿厢&gt;井道'!$B$25="GOST 33984.1",IF(BF23+450&lt;1850,1850,BF23+450),IF(BF23+450&lt;1850,1850,BF23+450))</f>
        <v>2250</v>
      </c>
      <c r="BG38" s="83">
        <f>IF('轿厢&gt;井道'!$B$25="GOST 33984.1",IF(BG23+450&lt;1850,1850,BG23+450),IF(BG23+450&lt;1850,1850,BG23+450))</f>
        <v>2450</v>
      </c>
      <c r="BH38" s="83">
        <f>IF('轿厢&gt;井道'!$B$25="GOST 33984.1",IF(BH23+450&lt;1850,1850,BH23+450),IF(BH23+450&lt;1850,1850,BH23+450))</f>
        <v>2450</v>
      </c>
      <c r="BI38" s="31">
        <f>IF('轿厢&gt;井道'!$B$25="GOST 33984.1","-",IF(BI23+400&lt;1970,1970,BI23+400))</f>
        <v>2400</v>
      </c>
      <c r="BJ38" s="84"/>
      <c r="BK38" s="71" t="s">
        <v>92</v>
      </c>
      <c r="BL38" s="24"/>
      <c r="BM38" s="56" t="s">
        <v>34</v>
      </c>
      <c r="BN38" s="19" t="s">
        <v>92</v>
      </c>
      <c r="BO38" s="19" t="s">
        <v>92</v>
      </c>
      <c r="BP38" s="19" t="s">
        <v>92</v>
      </c>
      <c r="BQ38" s="19" t="s">
        <v>92</v>
      </c>
      <c r="BR38" s="79" t="s">
        <v>92</v>
      </c>
      <c r="BS38" s="79" t="s">
        <v>92</v>
      </c>
      <c r="BT38" s="79" t="s">
        <v>92</v>
      </c>
      <c r="BU38" s="79" t="s">
        <v>92</v>
      </c>
      <c r="BV38" s="71" t="s">
        <v>92</v>
      </c>
      <c r="BX38" s="56" t="s">
        <v>34</v>
      </c>
      <c r="BY38" s="31">
        <f>BY23+500</f>
        <v>1900</v>
      </c>
      <c r="BZ38" s="31">
        <f t="shared" ref="BZ38:CE38" si="0">BZ23+500</f>
        <v>1900</v>
      </c>
      <c r="CA38" s="31">
        <f t="shared" si="0"/>
        <v>2100</v>
      </c>
      <c r="CB38" s="31">
        <f t="shared" si="0"/>
        <v>2200</v>
      </c>
      <c r="CC38" s="31">
        <f t="shared" si="0"/>
        <v>2200</v>
      </c>
      <c r="CD38" s="31">
        <f t="shared" si="0"/>
        <v>2300</v>
      </c>
      <c r="CE38" s="31">
        <f t="shared" si="0"/>
        <v>2500</v>
      </c>
      <c r="CF38" s="71" t="s">
        <v>92</v>
      </c>
    </row>
    <row r="39" spans="1:84" ht="12.75" customHeight="1">
      <c r="A39" s="48">
        <v>5</v>
      </c>
      <c r="B39" s="19" t="s">
        <v>92</v>
      </c>
      <c r="C39" s="19" t="s">
        <v>92</v>
      </c>
      <c r="D39" s="19" t="s">
        <v>92</v>
      </c>
      <c r="E39" s="19" t="s">
        <v>92</v>
      </c>
      <c r="F39" s="19" t="s">
        <v>92</v>
      </c>
      <c r="G39" s="19" t="s">
        <v>92</v>
      </c>
      <c r="H39" s="19" t="s">
        <v>92</v>
      </c>
      <c r="I39" s="24"/>
      <c r="J39" s="24"/>
      <c r="K39" s="24"/>
      <c r="N39" s="56" t="s">
        <v>19</v>
      </c>
      <c r="O39" s="31">
        <f>O24+850</f>
        <v>2450</v>
      </c>
      <c r="P39" s="31">
        <f>P24+900</f>
        <v>2800</v>
      </c>
      <c r="Q39" s="31">
        <f>Q24+950</f>
        <v>3150</v>
      </c>
      <c r="R39" s="31">
        <f>R24+1200</f>
        <v>3700</v>
      </c>
      <c r="S39" s="31">
        <f>S24+1300</f>
        <v>4100</v>
      </c>
      <c r="T39" s="19"/>
      <c r="U39" s="19"/>
      <c r="V39" s="19"/>
      <c r="W39" s="71"/>
      <c r="X39" s="24"/>
      <c r="Y39" s="56" t="s">
        <v>19</v>
      </c>
      <c r="Z39" s="19" t="s">
        <v>92</v>
      </c>
      <c r="AA39" s="19" t="s">
        <v>92</v>
      </c>
      <c r="AB39" s="19" t="s">
        <v>92</v>
      </c>
      <c r="AC39" s="31"/>
      <c r="AD39" s="19"/>
      <c r="AE39" s="19"/>
      <c r="AF39" s="71"/>
      <c r="AH39" s="56" t="s">
        <v>19</v>
      </c>
      <c r="AI39" s="31">
        <f>AI24+1050</f>
        <v>2650</v>
      </c>
      <c r="AJ39" s="31">
        <f>AJ24+1050</f>
        <v>2950</v>
      </c>
      <c r="AK39" s="31">
        <f>AK24+1200</f>
        <v>3400</v>
      </c>
      <c r="AL39" s="31">
        <f>AL24+1450</f>
        <v>3950</v>
      </c>
      <c r="AM39" s="31">
        <f>AM24+1450</f>
        <v>4250</v>
      </c>
      <c r="AN39" s="19"/>
      <c r="AO39" s="71"/>
      <c r="AQ39" s="56" t="s">
        <v>19</v>
      </c>
      <c r="AR39" s="19" t="s">
        <v>92</v>
      </c>
      <c r="AS39" s="19" t="s">
        <v>92</v>
      </c>
      <c r="AT39" s="19" t="s">
        <v>92</v>
      </c>
      <c r="AU39" s="31"/>
      <c r="AV39" s="31"/>
      <c r="AW39" s="19"/>
      <c r="AX39" s="71"/>
      <c r="BA39" s="56" t="s">
        <v>19</v>
      </c>
      <c r="BB39" s="19" t="s">
        <v>92</v>
      </c>
      <c r="BC39" s="31">
        <f>IF('轿厢&gt;井道'!$B$25="GOST 33984.1",IF(BC24+550&lt;1750,1750,BC24+550),IF(BC24+600&lt;1800,1800,BC24+600))</f>
        <v>1800</v>
      </c>
      <c r="BD39" s="31">
        <f>IF('轿厢&gt;井道'!$B$25="GOST 33984.1",IF(BD24+550&lt;1700,1700,BD24+550),IF(BD24+600&lt;1800,1800,BD24+600))</f>
        <v>1950</v>
      </c>
      <c r="BE39" s="31">
        <f>IF('轿厢&gt;井道'!$B$25="GOST 33984.1",IF(BE24+550&lt;1650,1650,BE24+550),IF(BE24+600&lt;1800,1800,BE24+600))</f>
        <v>2200</v>
      </c>
      <c r="BF39" s="83" t="e">
        <f>IF('轿厢&gt;井道'!$B$25="GOST 33984.1",IF(BF24+600&lt;1800,1800,BF24+600),IF(BF24+650&lt;1850,1850,BF24+650))</f>
        <v>#VALUE!</v>
      </c>
      <c r="BG39" s="83" t="e">
        <f>IF('轿厢&gt;井道'!$B$25="GOST 33984.1",IF(BG24+600&lt;1800,1800,BG24+600),IF(BG24+650&lt;1850,1850,BG24+650))</f>
        <v>#VALUE!</v>
      </c>
      <c r="BH39" s="83" t="e">
        <f>IF('轿厢&gt;井道'!$B$25="GOST 33984.1",IF(BH24+600&lt;1800,1800,BH24+600),IF(BH24+650&lt;1850,1850,BH24+650))</f>
        <v>#VALUE!</v>
      </c>
      <c r="BI39" s="31">
        <f>IF('轿厢&gt;井道'!$B$25="GOST 33984.1",IF(BI24+650&lt;1950,1950,BI24+650),IF(BI24+700&lt;2000,2000,BI24+700))</f>
        <v>2700</v>
      </c>
      <c r="BJ39" s="84"/>
      <c r="BK39" s="71" t="s">
        <v>92</v>
      </c>
      <c r="BL39" s="24"/>
      <c r="BM39" s="56" t="s">
        <v>19</v>
      </c>
      <c r="BN39" s="31">
        <f>IF(BN24+550&lt;1550,1550,BN24+550)</f>
        <v>1550</v>
      </c>
      <c r="BO39" s="31">
        <f>IF('轿厢&gt;井道'!$B$25="GOST 33984.1",IF(BO24+550&lt;1750,1750,BO24+550),IF(BO24+625&lt;1800,1800,BO24+625))</f>
        <v>1800</v>
      </c>
      <c r="BP39" s="31">
        <f>IF('轿厢&gt;井道'!$B$25="GOST 33984.1",IF(BP24+550&lt;1650,1650,BP24+550),IF(BP24+625&lt;1800,1800,BP24+625))</f>
        <v>1975</v>
      </c>
      <c r="BQ39" s="31">
        <f>IF('轿厢&gt;井道'!$B$25="GOST 33984.1",IF(BQ24+550&lt;1650,1650,BQ24+550),IF(BQ24+625&lt;2000,2000,BQ24+625))</f>
        <v>2225</v>
      </c>
      <c r="BR39" s="83">
        <f>BR24+675</f>
        <v>2475</v>
      </c>
      <c r="BS39" s="83">
        <f>BS24+705</f>
        <v>2705</v>
      </c>
      <c r="BT39" s="83">
        <f t="shared" ref="BT39:BU39" si="1">BT24+705</f>
        <v>2705</v>
      </c>
      <c r="BU39" s="83">
        <f t="shared" si="1"/>
        <v>2705</v>
      </c>
      <c r="BV39" s="71" t="s">
        <v>92</v>
      </c>
      <c r="BX39" s="56" t="s">
        <v>19</v>
      </c>
      <c r="BY39" s="31">
        <f>BY24+800</f>
        <v>1900</v>
      </c>
      <c r="BZ39" s="31">
        <f t="shared" ref="BZ39:CD39" si="2">BZ24+800</f>
        <v>2150</v>
      </c>
      <c r="CA39" s="31">
        <f t="shared" si="2"/>
        <v>2200</v>
      </c>
      <c r="CB39" s="31">
        <f t="shared" si="2"/>
        <v>2300</v>
      </c>
      <c r="CC39" s="31">
        <f t="shared" si="2"/>
        <v>2400</v>
      </c>
      <c r="CD39" s="31">
        <f t="shared" si="2"/>
        <v>2400</v>
      </c>
      <c r="CE39" s="31">
        <f>CE24+850</f>
        <v>2550</v>
      </c>
      <c r="CF39" s="88">
        <f>CF24+850</f>
        <v>2750</v>
      </c>
    </row>
    <row r="40" spans="1:84" ht="12.75" customHeight="1">
      <c r="A40" s="48">
        <v>6</v>
      </c>
      <c r="B40" s="19" t="s">
        <v>92</v>
      </c>
      <c r="C40" s="19" t="s">
        <v>92</v>
      </c>
      <c r="D40" s="19" t="s">
        <v>92</v>
      </c>
      <c r="E40" s="19" t="s">
        <v>92</v>
      </c>
      <c r="F40" s="19" t="s">
        <v>92</v>
      </c>
      <c r="G40" s="19" t="s">
        <v>92</v>
      </c>
      <c r="H40" s="19" t="s">
        <v>92</v>
      </c>
      <c r="I40" s="24"/>
      <c r="J40" s="24"/>
      <c r="K40" s="24"/>
      <c r="N40" s="64"/>
      <c r="O40" s="24"/>
      <c r="P40" s="24"/>
      <c r="Q40" s="24"/>
      <c r="R40" s="24"/>
      <c r="S40" s="24"/>
      <c r="T40" s="24"/>
      <c r="U40" s="24"/>
      <c r="V40" s="24"/>
      <c r="W40" s="70"/>
      <c r="X40" s="18"/>
      <c r="Y40" s="58"/>
      <c r="Z40" s="24"/>
      <c r="AA40" s="24"/>
      <c r="AB40" s="24"/>
      <c r="AC40" s="24"/>
      <c r="AD40" s="24"/>
      <c r="AE40" s="24"/>
      <c r="AF40" s="70"/>
      <c r="AH40" s="75"/>
      <c r="AI40" s="24"/>
      <c r="AJ40" s="24"/>
      <c r="AK40" s="24"/>
      <c r="AL40" s="24"/>
      <c r="AM40" s="24"/>
      <c r="AN40" s="24"/>
      <c r="AO40" s="70"/>
      <c r="AQ40" s="75"/>
      <c r="AR40" s="24"/>
      <c r="AS40" s="24"/>
      <c r="AT40" s="24"/>
      <c r="AU40" s="24"/>
      <c r="AV40" s="24"/>
      <c r="AW40" s="24"/>
      <c r="AX40" s="70"/>
      <c r="BA40" s="76"/>
      <c r="BB40" s="24"/>
      <c r="BC40" s="24"/>
      <c r="BD40" s="24"/>
      <c r="BE40" s="24"/>
      <c r="BF40" s="81"/>
      <c r="BG40" s="81"/>
      <c r="BH40" s="81"/>
      <c r="BI40" s="24"/>
      <c r="BJ40" s="24"/>
      <c r="BK40" s="70"/>
      <c r="BL40" s="24"/>
      <c r="BM40" s="76"/>
      <c r="BN40" s="24"/>
      <c r="BO40" s="24"/>
      <c r="BP40" s="24"/>
      <c r="BQ40" s="24"/>
      <c r="BR40" s="81"/>
      <c r="BS40" s="81"/>
      <c r="BT40" s="81"/>
      <c r="BU40" s="81"/>
      <c r="BV40" s="70"/>
      <c r="BX40" s="76"/>
      <c r="BY40" s="24"/>
      <c r="BZ40" s="24"/>
      <c r="CA40" s="24"/>
      <c r="CB40" s="24"/>
      <c r="CC40" s="24"/>
      <c r="CD40" s="24"/>
      <c r="CE40" s="24"/>
      <c r="CF40" s="70"/>
    </row>
    <row r="41" spans="1:84" ht="12.75" customHeight="1">
      <c r="N41" s="64"/>
      <c r="O41" s="24"/>
      <c r="P41" s="24"/>
      <c r="Q41" s="24"/>
      <c r="R41" s="24"/>
      <c r="S41" s="24"/>
      <c r="T41" s="24"/>
      <c r="U41" s="24"/>
      <c r="V41" s="24"/>
      <c r="W41" s="70"/>
      <c r="X41" s="18"/>
      <c r="Y41" s="58"/>
      <c r="Z41" s="24"/>
      <c r="AA41" s="24"/>
      <c r="AB41" s="24"/>
      <c r="AC41" s="24"/>
      <c r="AD41" s="24"/>
      <c r="AE41" s="24"/>
      <c r="AF41" s="70"/>
      <c r="AH41" s="75"/>
      <c r="AI41" s="24"/>
      <c r="AJ41" s="24"/>
      <c r="AK41" s="24"/>
      <c r="AL41" s="24"/>
      <c r="AM41" s="24"/>
      <c r="AN41" s="24"/>
      <c r="AO41" s="70"/>
      <c r="AQ41" s="75"/>
      <c r="AR41" s="24"/>
      <c r="AS41" s="24"/>
      <c r="AT41" s="24"/>
      <c r="AU41" s="24"/>
      <c r="AV41" s="24"/>
      <c r="AW41" s="24"/>
      <c r="AX41" s="70"/>
      <c r="BA41" s="76"/>
      <c r="BB41" s="24"/>
      <c r="BC41" s="24"/>
      <c r="BD41" s="24"/>
      <c r="BE41" s="24"/>
      <c r="BF41" s="81"/>
      <c r="BG41" s="81"/>
      <c r="BH41" s="81"/>
      <c r="BI41" s="24"/>
      <c r="BJ41" s="24"/>
      <c r="BK41" s="70"/>
      <c r="BL41" s="24"/>
      <c r="BM41" s="76"/>
      <c r="BN41" s="24"/>
      <c r="BO41" s="24"/>
      <c r="BP41" s="24"/>
      <c r="BQ41" s="24"/>
      <c r="BR41" s="81"/>
      <c r="BS41" s="81"/>
      <c r="BT41" s="81"/>
      <c r="BU41" s="81"/>
      <c r="BV41" s="70"/>
      <c r="BX41" s="76"/>
      <c r="BY41" s="24"/>
      <c r="BZ41" s="24"/>
      <c r="CA41" s="24"/>
      <c r="CB41" s="24"/>
      <c r="CC41" s="24"/>
      <c r="CD41" s="24"/>
      <c r="CE41" s="24"/>
      <c r="CF41" s="70"/>
    </row>
    <row r="42" spans="1:84" ht="12.75" customHeight="1">
      <c r="A42" s="15" t="s">
        <v>327</v>
      </c>
      <c r="N42" s="64"/>
      <c r="O42" s="24"/>
      <c r="P42" s="24"/>
      <c r="Q42" s="24"/>
      <c r="R42" s="24"/>
      <c r="S42" s="24"/>
      <c r="T42" s="24"/>
      <c r="U42" s="24"/>
      <c r="V42" s="24"/>
      <c r="W42" s="70"/>
      <c r="X42" s="18"/>
      <c r="Y42" s="58"/>
      <c r="Z42" s="24"/>
      <c r="AA42" s="24"/>
      <c r="AB42" s="24"/>
      <c r="AC42" s="24"/>
      <c r="AD42" s="24"/>
      <c r="AE42" s="24"/>
      <c r="AF42" s="70"/>
      <c r="AH42" s="75"/>
      <c r="AI42" s="24"/>
      <c r="AJ42" s="24"/>
      <c r="AK42" s="24"/>
      <c r="AL42" s="24"/>
      <c r="AM42" s="24"/>
      <c r="AN42" s="24"/>
      <c r="AO42" s="70"/>
      <c r="AQ42" s="75"/>
      <c r="AR42" s="24"/>
      <c r="AS42" s="24"/>
      <c r="AT42" s="24"/>
      <c r="AU42" s="24"/>
      <c r="AV42" s="24"/>
      <c r="AW42" s="24"/>
      <c r="AX42" s="70"/>
      <c r="BA42" s="76"/>
      <c r="BB42" s="24"/>
      <c r="BC42" s="24"/>
      <c r="BD42" s="24"/>
      <c r="BE42" s="24"/>
      <c r="BF42" s="81"/>
      <c r="BG42" s="81"/>
      <c r="BH42" s="81"/>
      <c r="BI42" s="24"/>
      <c r="BJ42" s="24"/>
      <c r="BK42" s="70"/>
      <c r="BL42" s="24"/>
      <c r="BM42" s="76"/>
      <c r="BN42" s="24"/>
      <c r="BO42" s="24"/>
      <c r="BP42" s="24"/>
      <c r="BQ42" s="24"/>
      <c r="BR42" s="81"/>
      <c r="BS42" s="81"/>
      <c r="BT42" s="81"/>
      <c r="BU42" s="81"/>
      <c r="BV42" s="70"/>
      <c r="BX42" s="76"/>
      <c r="BY42" s="24"/>
      <c r="BZ42" s="24"/>
      <c r="CA42" s="24"/>
      <c r="CB42" s="24"/>
      <c r="CC42" s="24"/>
      <c r="CD42" s="24"/>
      <c r="CE42" s="24"/>
      <c r="CF42" s="70"/>
    </row>
    <row r="43" spans="1:84" ht="12.75" customHeight="1">
      <c r="A43" s="13" t="s">
        <v>103</v>
      </c>
      <c r="B43" s="13" t="s">
        <v>91</v>
      </c>
      <c r="C43" s="13" t="s">
        <v>105</v>
      </c>
      <c r="D43" s="13" t="s">
        <v>11</v>
      </c>
      <c r="E43" s="13" t="s">
        <v>106</v>
      </c>
      <c r="F43" s="45" t="s">
        <v>87</v>
      </c>
      <c r="G43" s="45" t="s">
        <v>107</v>
      </c>
      <c r="H43" s="45" t="s">
        <v>108</v>
      </c>
      <c r="I43" s="59"/>
      <c r="J43" s="59"/>
      <c r="K43" s="59"/>
      <c r="N43" s="64"/>
      <c r="O43" s="24"/>
      <c r="P43" s="24"/>
      <c r="Q43" s="43"/>
      <c r="R43" s="24"/>
      <c r="S43" s="24"/>
      <c r="T43" s="24"/>
      <c r="U43" s="43"/>
      <c r="V43" s="24"/>
      <c r="W43" s="70"/>
      <c r="Y43" s="64"/>
      <c r="Z43" s="24"/>
      <c r="AA43" s="24"/>
      <c r="AB43" s="24"/>
      <c r="AC43" s="24"/>
      <c r="AD43" s="24"/>
      <c r="AE43" s="24"/>
      <c r="AF43" s="70"/>
      <c r="AH43" s="75"/>
      <c r="AI43" s="24"/>
      <c r="AJ43" s="24"/>
      <c r="AK43" s="24"/>
      <c r="AL43" s="24"/>
      <c r="AM43" s="24"/>
      <c r="AN43" s="24"/>
      <c r="AO43" s="70"/>
      <c r="AQ43" s="75"/>
      <c r="AR43" s="24"/>
      <c r="AS43" s="24"/>
      <c r="AT43" s="24"/>
      <c r="AU43" s="24"/>
      <c r="AV43" s="24"/>
      <c r="AW43" s="24"/>
      <c r="AX43" s="70"/>
      <c r="BA43" s="76"/>
      <c r="BB43" s="24"/>
      <c r="BC43" s="24"/>
      <c r="BD43" s="24"/>
      <c r="BE43" s="24"/>
      <c r="BF43" s="81"/>
      <c r="BG43" s="81"/>
      <c r="BH43" s="81"/>
      <c r="BI43" s="24"/>
      <c r="BJ43" s="24"/>
      <c r="BK43" s="70"/>
      <c r="BL43" s="24"/>
      <c r="BM43" s="76"/>
      <c r="BN43" s="24"/>
      <c r="BO43" s="24"/>
      <c r="BP43" s="24"/>
      <c r="BQ43" s="24"/>
      <c r="BR43" s="81"/>
      <c r="BS43" s="81"/>
      <c r="BT43" s="81"/>
      <c r="BU43" s="81"/>
      <c r="BV43" s="70"/>
      <c r="BX43" s="76"/>
      <c r="BY43" s="24"/>
      <c r="BZ43" s="24"/>
      <c r="CA43" s="24"/>
      <c r="CB43" s="24"/>
      <c r="CC43" s="24"/>
      <c r="CD43" s="24"/>
      <c r="CE43" s="24"/>
      <c r="CF43" s="70"/>
    </row>
    <row r="44" spans="1:84" ht="12.75" customHeight="1">
      <c r="A44" s="13"/>
      <c r="B44" s="46">
        <v>2200</v>
      </c>
      <c r="C44" s="46">
        <v>2200</v>
      </c>
      <c r="D44" s="46">
        <v>2200</v>
      </c>
      <c r="E44" s="46">
        <v>2200</v>
      </c>
      <c r="F44" s="31">
        <f>IF('轿厢&gt;井道'!$B$25="GOST 33984.1",2100,IF(标准配置!$B$26&gt;1050,2400,2300))</f>
        <v>2300</v>
      </c>
      <c r="G44" s="31">
        <f>IF('轿厢&gt;井道'!$B$25="GOST 33984.1",2100,IF(标准配置!$B$26&gt;1050,2400,2300))</f>
        <v>2300</v>
      </c>
      <c r="H44" s="46">
        <v>2500</v>
      </c>
      <c r="I44" s="43"/>
      <c r="J44" s="43"/>
      <c r="K44" s="43"/>
      <c r="N44" s="52" t="s">
        <v>328</v>
      </c>
      <c r="O44" s="18"/>
      <c r="P44" s="18"/>
      <c r="Q44" s="18"/>
      <c r="R44" s="18"/>
      <c r="S44" s="18"/>
      <c r="T44" s="18"/>
      <c r="U44" s="18"/>
      <c r="V44" s="18"/>
      <c r="W44" s="67"/>
      <c r="Y44" s="52" t="s">
        <v>328</v>
      </c>
      <c r="Z44" s="18"/>
      <c r="AA44" s="18"/>
      <c r="AB44" s="18"/>
      <c r="AC44" s="18"/>
      <c r="AD44" s="18"/>
      <c r="AE44" s="18"/>
      <c r="AF44" s="67"/>
      <c r="AH44" s="52" t="s">
        <v>328</v>
      </c>
      <c r="AI44" s="18"/>
      <c r="AJ44" s="18"/>
      <c r="AK44" s="18"/>
      <c r="AL44" s="18"/>
      <c r="AM44" s="18"/>
      <c r="AN44" s="18"/>
      <c r="AO44" s="70"/>
      <c r="AQ44" s="52" t="s">
        <v>328</v>
      </c>
      <c r="AR44" s="18"/>
      <c r="AS44" s="18"/>
      <c r="AT44" s="18"/>
      <c r="AU44" s="18"/>
      <c r="AV44" s="18"/>
      <c r="AW44" s="18"/>
      <c r="AX44" s="70"/>
      <c r="BA44" s="52" t="s">
        <v>328</v>
      </c>
      <c r="BB44" s="24"/>
      <c r="BC44" s="24"/>
      <c r="BD44" s="24"/>
      <c r="BE44" s="24"/>
      <c r="BF44" s="81"/>
      <c r="BG44" s="81"/>
      <c r="BH44" s="81"/>
      <c r="BI44" s="24"/>
      <c r="BJ44" s="24"/>
      <c r="BK44" s="70"/>
      <c r="BL44" s="24"/>
      <c r="BM44" s="52" t="s">
        <v>328</v>
      </c>
      <c r="BN44" s="24"/>
      <c r="BO44" s="24"/>
      <c r="BP44" s="24"/>
      <c r="BQ44" s="24"/>
      <c r="BR44" s="81"/>
      <c r="BS44" s="81"/>
      <c r="BT44" s="81"/>
      <c r="BU44" s="81"/>
      <c r="BV44" s="70"/>
      <c r="BX44" s="52" t="s">
        <v>328</v>
      </c>
      <c r="BY44" s="24"/>
      <c r="BZ44" s="24"/>
      <c r="CA44" s="24"/>
      <c r="CB44" s="24"/>
      <c r="CC44" s="24"/>
      <c r="CD44" s="24"/>
      <c r="CE44" s="24"/>
      <c r="CF44" s="70"/>
    </row>
    <row r="45" spans="1:84" ht="12.75" customHeight="1">
      <c r="N45" s="62" t="s">
        <v>321</v>
      </c>
      <c r="O45" s="54">
        <v>1600</v>
      </c>
      <c r="P45" s="54">
        <v>2000</v>
      </c>
      <c r="Q45" s="54">
        <v>3000</v>
      </c>
      <c r="R45" s="54">
        <v>4000</v>
      </c>
      <c r="S45" s="54">
        <v>5000</v>
      </c>
      <c r="T45" s="54"/>
      <c r="U45" s="54"/>
      <c r="V45" s="54"/>
      <c r="W45" s="68"/>
      <c r="Y45" s="62" t="s">
        <v>321</v>
      </c>
      <c r="Z45" s="54">
        <v>3000</v>
      </c>
      <c r="AA45" s="54">
        <v>4000</v>
      </c>
      <c r="AB45" s="54">
        <v>5000</v>
      </c>
      <c r="AC45" s="54"/>
      <c r="AD45" s="54"/>
      <c r="AE45" s="54"/>
      <c r="AF45" s="68"/>
      <c r="AH45" s="62" t="s">
        <v>321</v>
      </c>
      <c r="AI45" s="54">
        <v>1600</v>
      </c>
      <c r="AJ45" s="54">
        <v>2000</v>
      </c>
      <c r="AK45" s="54">
        <v>3000</v>
      </c>
      <c r="AL45" s="54">
        <v>4000</v>
      </c>
      <c r="AM45" s="54">
        <v>5000</v>
      </c>
      <c r="AN45" s="54"/>
      <c r="AO45" s="68"/>
      <c r="AQ45" s="62" t="s">
        <v>321</v>
      </c>
      <c r="AR45" s="54">
        <v>3000</v>
      </c>
      <c r="AS45" s="54">
        <v>4000</v>
      </c>
      <c r="AT45" s="54">
        <v>5000</v>
      </c>
      <c r="AU45" s="54"/>
      <c r="AV45" s="54"/>
      <c r="AW45" s="54"/>
      <c r="AX45" s="68"/>
      <c r="BA45" s="62" t="s">
        <v>321</v>
      </c>
      <c r="BB45" s="54">
        <v>400</v>
      </c>
      <c r="BC45" s="54">
        <v>630</v>
      </c>
      <c r="BD45" s="54">
        <v>800</v>
      </c>
      <c r="BE45" s="54">
        <v>1000</v>
      </c>
      <c r="BF45" s="54">
        <v>1150</v>
      </c>
      <c r="BG45" s="54">
        <v>1250</v>
      </c>
      <c r="BH45" s="54">
        <v>1350</v>
      </c>
      <c r="BI45" s="54">
        <v>1600</v>
      </c>
      <c r="BJ45" s="72"/>
      <c r="BK45" s="68" t="s">
        <v>92</v>
      </c>
      <c r="BL45" s="24"/>
      <c r="BM45" s="62" t="s">
        <v>321</v>
      </c>
      <c r="BN45" s="54">
        <v>400</v>
      </c>
      <c r="BO45" s="54">
        <v>630</v>
      </c>
      <c r="BP45" s="54">
        <v>800</v>
      </c>
      <c r="BQ45" s="54">
        <v>1000</v>
      </c>
      <c r="BR45" s="54">
        <v>1150</v>
      </c>
      <c r="BS45" s="54">
        <v>1250</v>
      </c>
      <c r="BT45" s="54">
        <v>1350</v>
      </c>
      <c r="BU45" s="54">
        <v>1600</v>
      </c>
      <c r="BV45" s="68" t="s">
        <v>92</v>
      </c>
      <c r="BX45" s="62" t="s">
        <v>321</v>
      </c>
      <c r="BY45" s="54">
        <v>630</v>
      </c>
      <c r="BZ45" s="54">
        <v>800</v>
      </c>
      <c r="CA45" s="54">
        <v>1000</v>
      </c>
      <c r="CB45" s="72">
        <v>1150</v>
      </c>
      <c r="CC45" s="54">
        <v>1250</v>
      </c>
      <c r="CD45" s="54">
        <v>1350</v>
      </c>
      <c r="CE45" s="54">
        <v>1600</v>
      </c>
      <c r="CF45" s="68">
        <v>2000</v>
      </c>
    </row>
    <row r="46" spans="1:84" ht="12.75" customHeight="1">
      <c r="N46" s="56" t="s">
        <v>34</v>
      </c>
      <c r="O46" s="19" t="s">
        <v>92</v>
      </c>
      <c r="P46" s="19" t="s">
        <v>92</v>
      </c>
      <c r="Q46" s="19" t="s">
        <v>92</v>
      </c>
      <c r="R46" s="19" t="s">
        <v>92</v>
      </c>
      <c r="S46" s="19" t="s">
        <v>92</v>
      </c>
      <c r="T46" s="19"/>
      <c r="U46" s="19"/>
      <c r="V46" s="19"/>
      <c r="W46" s="71"/>
      <c r="X46" s="18"/>
      <c r="Y46" s="56" t="s">
        <v>34</v>
      </c>
      <c r="Z46" s="19" t="s">
        <v>92</v>
      </c>
      <c r="AA46" s="19" t="s">
        <v>92</v>
      </c>
      <c r="AB46" s="19" t="s">
        <v>92</v>
      </c>
      <c r="AC46" s="19"/>
      <c r="AD46" s="19"/>
      <c r="AE46" s="19"/>
      <c r="AF46" s="71"/>
      <c r="AH46" s="56" t="s">
        <v>34</v>
      </c>
      <c r="AI46" s="19" t="s">
        <v>92</v>
      </c>
      <c r="AJ46" s="19" t="s">
        <v>92</v>
      </c>
      <c r="AK46" s="19" t="s">
        <v>92</v>
      </c>
      <c r="AL46" s="19" t="s">
        <v>92</v>
      </c>
      <c r="AM46" s="19" t="s">
        <v>92</v>
      </c>
      <c r="AN46" s="19"/>
      <c r="AO46" s="71"/>
      <c r="AQ46" s="56" t="s">
        <v>34</v>
      </c>
      <c r="AR46" s="19" t="s">
        <v>92</v>
      </c>
      <c r="AS46" s="19" t="s">
        <v>92</v>
      </c>
      <c r="AT46" s="19" t="s">
        <v>92</v>
      </c>
      <c r="AU46" s="19"/>
      <c r="AV46" s="19"/>
      <c r="AW46" s="19"/>
      <c r="AX46" s="71"/>
      <c r="BA46" s="56" t="s">
        <v>34</v>
      </c>
      <c r="BB46" s="31">
        <f>IF('轿厢&gt;井道'!$B$25="GOST 33984.1",IF(BB28+570&lt;1570,1570,BB28+570),IF(BB28+550&lt;1550,1550,BB28+550))</f>
        <v>1550</v>
      </c>
      <c r="BC46" s="31">
        <f>IF('轿厢&gt;井道'!$B$25="GOST 33984.1","-",IF(BC28+550&lt;1650,1650,BC28+550))</f>
        <v>1650</v>
      </c>
      <c r="BD46" s="31">
        <f>IF('轿厢&gt;井道'!$B$25="GOST 33984.1",IF(BD28+600&lt;1700,1700,BD28+600),IF(BD28+550&lt;1650,1650,BD28+550))</f>
        <v>1900</v>
      </c>
      <c r="BE46" s="31">
        <f>IF('轿厢&gt;井道'!$B$25="GOST 33984.1",IF(BE28+600&lt;1700,1700,BE28+600),IF(BE28+550&lt;1650,1650,BE28+550))</f>
        <v>1950</v>
      </c>
      <c r="BF46" s="83">
        <f>BF28+IF('轿厢&gt;井道'!$B$13&gt;=2,720,650)</f>
        <v>2050</v>
      </c>
      <c r="BG46" s="83">
        <f>BG28+IF('轿厢&gt;井道'!$B$13&gt;=2,720,650)</f>
        <v>2050</v>
      </c>
      <c r="BH46" s="79" t="s">
        <v>92</v>
      </c>
      <c r="BI46" s="31">
        <f>IF('轿厢&gt;井道'!$B$25="GOST 33984.1","-",IF(BI28+650&lt;2050,2050,BI28+650))</f>
        <v>2350</v>
      </c>
      <c r="BJ46" s="84"/>
      <c r="BK46" s="71" t="s">
        <v>92</v>
      </c>
      <c r="BL46" s="24"/>
      <c r="BM46" s="56" t="s">
        <v>34</v>
      </c>
      <c r="BN46" s="19" t="s">
        <v>92</v>
      </c>
      <c r="BO46" s="19" t="s">
        <v>92</v>
      </c>
      <c r="BP46" s="19" t="s">
        <v>92</v>
      </c>
      <c r="BQ46" s="19" t="s">
        <v>92</v>
      </c>
      <c r="BR46" s="79" t="s">
        <v>92</v>
      </c>
      <c r="BS46" s="79" t="s">
        <v>92</v>
      </c>
      <c r="BT46" s="79" t="s">
        <v>92</v>
      </c>
      <c r="BU46" s="79" t="s">
        <v>92</v>
      </c>
      <c r="BV46" s="71" t="s">
        <v>92</v>
      </c>
      <c r="BX46" s="56" t="s">
        <v>34</v>
      </c>
      <c r="BY46" s="31">
        <f>BY28+600</f>
        <v>1700</v>
      </c>
      <c r="BZ46" s="31">
        <f>BZ28+IF('轿厢&gt;井道'!$B$13&gt;=2,720,650)</f>
        <v>2000</v>
      </c>
      <c r="CA46" s="31">
        <f>CA28+IF('轿厢&gt;井道'!$B$13&gt;=2,720,650)</f>
        <v>2050</v>
      </c>
      <c r="CB46" s="31">
        <f>CB28+IF('轿厢&gt;井道'!$B$13&gt;=2,720,650)</f>
        <v>2150</v>
      </c>
      <c r="CC46" s="31">
        <f>CC28+IF('轿厢&gt;井道'!$B$13&gt;=2,720,650)</f>
        <v>2250</v>
      </c>
      <c r="CD46" s="31">
        <f>CD28+IF('轿厢&gt;井道'!$B$13&gt;=2,720,650)</f>
        <v>2250</v>
      </c>
      <c r="CE46" s="31">
        <f>CE28+IF('轿厢&gt;井道'!$B$13&gt;=2,720,650)+50</f>
        <v>2400</v>
      </c>
      <c r="CF46" s="71" t="s">
        <v>92</v>
      </c>
    </row>
    <row r="47" spans="1:84" ht="12.75" customHeight="1">
      <c r="N47" s="56" t="s">
        <v>19</v>
      </c>
      <c r="O47" s="31">
        <f>O29+IF(OR('轿厢&gt;井道'!$C$18=4,'轿厢&gt;井道'!$C$18=5),450+100,450)</f>
        <v>2550</v>
      </c>
      <c r="P47" s="31">
        <f>P29+IF(OR('轿厢&gt;井道'!$C$18=4,'轿厢&gt;井道'!$C$18=5),450+100,450)</f>
        <v>2550</v>
      </c>
      <c r="Q47" s="31">
        <f>Q29+IF(OR('轿厢&gt;井道'!$C$18=4,'轿厢&gt;井道'!$C$18=5),450+100,450)</f>
        <v>2950</v>
      </c>
      <c r="R47" s="31">
        <f>R29+IF(OR('轿厢&gt;井道'!$C$18=4,'轿厢&gt;井道'!$C$18=5),450+100,450)</f>
        <v>3250</v>
      </c>
      <c r="S47" s="31">
        <f>S29+IF(OR('轿厢&gt;井道'!$C$18=4,'轿厢&gt;井道'!$C$18=5),450+100,450)</f>
        <v>3550</v>
      </c>
      <c r="T47" s="19"/>
      <c r="U47" s="19"/>
      <c r="V47" s="19"/>
      <c r="W47" s="71"/>
      <c r="X47" s="24"/>
      <c r="Y47" s="56" t="s">
        <v>19</v>
      </c>
      <c r="Z47" s="19" t="s">
        <v>92</v>
      </c>
      <c r="AA47" s="19" t="s">
        <v>92</v>
      </c>
      <c r="AB47" s="19" t="s">
        <v>92</v>
      </c>
      <c r="AC47" s="31"/>
      <c r="AD47" s="19"/>
      <c r="AE47" s="19"/>
      <c r="AF47" s="71"/>
      <c r="AH47" s="56" t="s">
        <v>19</v>
      </c>
      <c r="AI47" s="31">
        <f>AI29+IF(OR('轿厢&gt;井道'!$C$18=4,'轿厢&gt;井道'!$C$18=5),450+100,450)</f>
        <v>2550</v>
      </c>
      <c r="AJ47" s="31">
        <f>AJ29+IF(OR('轿厢&gt;井道'!$C$18=4,'轿厢&gt;井道'!$C$18=5),450+100,450)</f>
        <v>2550</v>
      </c>
      <c r="AK47" s="31">
        <f>AK29+IF(OR('轿厢&gt;井道'!$C$18=4,'轿厢&gt;井道'!$C$18=5),450+100,450)</f>
        <v>2950</v>
      </c>
      <c r="AL47" s="31">
        <f>AL29+IF(OR('轿厢&gt;井道'!$C$18=4,'轿厢&gt;井道'!$C$18=5),450+100,450)</f>
        <v>3250</v>
      </c>
      <c r="AM47" s="31">
        <f>AM29+IF(OR('轿厢&gt;井道'!$C$18=4,'轿厢&gt;井道'!$C$18=5),450+100,450)</f>
        <v>3550</v>
      </c>
      <c r="AN47" s="19"/>
      <c r="AO47" s="71"/>
      <c r="AQ47" s="56" t="s">
        <v>19</v>
      </c>
      <c r="AR47" s="19" t="s">
        <v>92</v>
      </c>
      <c r="AS47" s="19" t="s">
        <v>92</v>
      </c>
      <c r="AT47" s="19" t="s">
        <v>92</v>
      </c>
      <c r="AU47" s="31"/>
      <c r="AV47" s="31"/>
      <c r="AW47" s="19"/>
      <c r="AX47" s="71"/>
      <c r="BA47" s="56" t="s">
        <v>19</v>
      </c>
      <c r="BB47" s="19" t="s">
        <v>92</v>
      </c>
      <c r="BC47" s="31">
        <f>IF('轿厢&gt;井道'!$B$25="GOST 33984.1",IF(BC29+400&lt;1700,1700,BC29+400),IF(BC29+350&lt;1700,1700,BC29+350))</f>
        <v>1750</v>
      </c>
      <c r="BD47" s="31">
        <f>IF('轿厢&gt;井道'!$B$25="GOST 33984.1",IF(BD29+400&lt;1700,1700,BD29+400),IF(BD29+350&lt;1700,1700,BD29+350))</f>
        <v>1750</v>
      </c>
      <c r="BE47" s="31">
        <f>IF('轿厢&gt;井道'!$B$25="GOST 33984.1",IF(BE29+400&lt;1700,1700,BE29+400),IF(BE29+350&lt;1700,1700,BE29+350))</f>
        <v>1750</v>
      </c>
      <c r="BF47" s="83" t="e">
        <f t="shared" ref="BF47:BG47" si="3">BF29+400</f>
        <v>#VALUE!</v>
      </c>
      <c r="BG47" s="83" t="e">
        <f t="shared" si="3"/>
        <v>#VALUE!</v>
      </c>
      <c r="BH47" s="83" t="e">
        <f t="shared" ref="BH47" si="4">BH29+400</f>
        <v>#VALUE!</v>
      </c>
      <c r="BI47" s="31">
        <f>IF('轿厢&gt;井道'!$B$25="GOST 33984.1",IF(BI29+400&lt;1800,1800,BI29+400),IF(BI29+350&lt;1800,1800,BI29+350))</f>
        <v>2050</v>
      </c>
      <c r="BJ47" s="84"/>
      <c r="BK47" s="71" t="s">
        <v>92</v>
      </c>
      <c r="BL47" s="24"/>
      <c r="BM47" s="56" t="s">
        <v>19</v>
      </c>
      <c r="BN47" s="31">
        <f>IF('轿厢&gt;井道'!$B$25="GOST 33984.1",BN29+400,BN29+500)</f>
        <v>1500</v>
      </c>
      <c r="BO47" s="31">
        <f>IF('轿厢&gt;井道'!$B$25="GOST 33984.1",BO29+355,BO29+350)</f>
        <v>1750</v>
      </c>
      <c r="BP47" s="31">
        <f>IF('轿厢&gt;井道'!$B$25="GOST 33984.1",BP29+390,BP29+350)</f>
        <v>1750</v>
      </c>
      <c r="BQ47" s="31">
        <f>IF('轿厢&gt;井道'!$B$25="GOST 33984.1",BQ29+370,BQ29+350)</f>
        <v>1750</v>
      </c>
      <c r="BR47" s="83">
        <f>BR29+350</f>
        <v>1750</v>
      </c>
      <c r="BS47" s="83">
        <f>BS29+350</f>
        <v>1750</v>
      </c>
      <c r="BT47" s="83">
        <f>BT29+350</f>
        <v>1850</v>
      </c>
      <c r="BU47" s="83">
        <f>BU29+350</f>
        <v>2050</v>
      </c>
      <c r="BV47" s="71" t="s">
        <v>92</v>
      </c>
      <c r="BX47" s="56" t="s">
        <v>19</v>
      </c>
      <c r="BY47" s="31">
        <f>BY29+400</f>
        <v>1800</v>
      </c>
      <c r="BZ47" s="31">
        <f t="shared" ref="BZ47:CF47" si="5">BZ29+400</f>
        <v>1800</v>
      </c>
      <c r="CA47" s="31">
        <f t="shared" si="5"/>
        <v>2000</v>
      </c>
      <c r="CB47" s="31">
        <f t="shared" si="5"/>
        <v>2100</v>
      </c>
      <c r="CC47" s="31">
        <f t="shared" si="5"/>
        <v>2100</v>
      </c>
      <c r="CD47" s="31">
        <f t="shared" si="5"/>
        <v>2200</v>
      </c>
      <c r="CE47" s="31">
        <f t="shared" si="5"/>
        <v>2400</v>
      </c>
      <c r="CF47" s="88">
        <f t="shared" si="5"/>
        <v>2500</v>
      </c>
    </row>
    <row r="48" spans="1:84" ht="12.75" customHeight="1">
      <c r="N48" s="65"/>
      <c r="O48" s="24"/>
      <c r="P48" s="24"/>
      <c r="Q48" s="24"/>
      <c r="R48" s="24"/>
      <c r="S48" s="24"/>
      <c r="T48" s="24"/>
      <c r="U48" s="24"/>
      <c r="V48" s="24"/>
      <c r="W48" s="70"/>
      <c r="X48" s="24"/>
      <c r="Y48" s="58"/>
      <c r="Z48" s="24"/>
      <c r="AA48" s="24"/>
      <c r="AB48" s="24"/>
      <c r="AC48" s="24"/>
      <c r="AD48" s="24"/>
      <c r="AE48" s="24"/>
      <c r="AF48" s="70"/>
      <c r="AH48" s="64"/>
      <c r="AI48" s="24"/>
      <c r="AJ48" s="24"/>
      <c r="AK48" s="24"/>
      <c r="AL48" s="24"/>
      <c r="AM48" s="24"/>
      <c r="AN48" s="24"/>
      <c r="AO48" s="70"/>
      <c r="AQ48" s="64"/>
      <c r="AR48" s="24"/>
      <c r="AS48" s="24"/>
      <c r="AT48" s="24"/>
      <c r="AU48" s="24"/>
      <c r="AV48" s="24"/>
      <c r="AW48" s="24"/>
      <c r="AX48" s="70"/>
      <c r="BA48" s="76"/>
      <c r="BB48" s="24"/>
      <c r="BC48" s="24"/>
      <c r="BD48" s="24"/>
      <c r="BE48" s="24"/>
      <c r="BF48" s="81"/>
      <c r="BG48" s="81"/>
      <c r="BH48" s="81"/>
      <c r="BI48" s="24"/>
      <c r="BJ48" s="24"/>
      <c r="BK48" s="70"/>
      <c r="BL48" s="24"/>
      <c r="BM48" s="76"/>
      <c r="BN48" s="24"/>
      <c r="BO48" s="24"/>
      <c r="BP48" s="24"/>
      <c r="BQ48" s="24"/>
      <c r="BR48" s="81"/>
      <c r="BS48" s="81"/>
      <c r="BT48" s="81"/>
      <c r="BU48" s="81"/>
      <c r="BV48" s="70"/>
      <c r="BX48" s="76"/>
      <c r="BY48" s="24"/>
      <c r="BZ48" s="24"/>
      <c r="CA48" s="24"/>
      <c r="CB48" s="24"/>
      <c r="CC48" s="24"/>
      <c r="CD48" s="24"/>
      <c r="CE48" s="24"/>
      <c r="CF48" s="70"/>
    </row>
    <row r="49" spans="9:84" ht="12.75" customHeight="1">
      <c r="N49" s="65"/>
      <c r="O49" s="24"/>
      <c r="P49" s="24"/>
      <c r="Q49" s="24"/>
      <c r="R49" s="24"/>
      <c r="S49" s="24"/>
      <c r="T49" s="24"/>
      <c r="U49" s="24"/>
      <c r="V49" s="24"/>
      <c r="W49" s="70"/>
      <c r="X49" s="24"/>
      <c r="Y49" s="58"/>
      <c r="Z49" s="24"/>
      <c r="AA49" s="24"/>
      <c r="AB49" s="24"/>
      <c r="AC49" s="24"/>
      <c r="AD49" s="24"/>
      <c r="AE49" s="24"/>
      <c r="AF49" s="70"/>
      <c r="AH49" s="64"/>
      <c r="AI49" s="24"/>
      <c r="AJ49" s="24"/>
      <c r="AK49" s="24"/>
      <c r="AL49" s="24"/>
      <c r="AM49" s="24"/>
      <c r="AN49" s="24"/>
      <c r="AO49" s="70"/>
      <c r="AQ49" s="64"/>
      <c r="AR49" s="24"/>
      <c r="AS49" s="24"/>
      <c r="AT49" s="24"/>
      <c r="AU49" s="24"/>
      <c r="AV49" s="24"/>
      <c r="AW49" s="24"/>
      <c r="AX49" s="70"/>
      <c r="BA49" s="76"/>
      <c r="BB49" s="24"/>
      <c r="BC49" s="24"/>
      <c r="BD49" s="24"/>
      <c r="BE49" s="24"/>
      <c r="BF49" s="81"/>
      <c r="BG49" s="81"/>
      <c r="BH49" s="81"/>
      <c r="BI49" s="24"/>
      <c r="BJ49" s="24"/>
      <c r="BK49" s="70"/>
      <c r="BL49" s="24"/>
      <c r="BM49" s="76"/>
      <c r="BN49" s="24"/>
      <c r="BO49" s="24"/>
      <c r="BP49" s="24"/>
      <c r="BQ49" s="24"/>
      <c r="BR49" s="81"/>
      <c r="BS49" s="81"/>
      <c r="BT49" s="81"/>
      <c r="BU49" s="81"/>
      <c r="BV49" s="70"/>
      <c r="BX49" s="76"/>
      <c r="BY49" s="24"/>
      <c r="BZ49" s="24"/>
      <c r="CA49" s="24"/>
      <c r="CB49" s="24"/>
      <c r="CC49" s="24"/>
      <c r="CD49" s="24"/>
      <c r="CE49" s="24"/>
      <c r="CF49" s="70"/>
    </row>
    <row r="50" spans="9:84" ht="12.75" customHeight="1">
      <c r="N50" s="65"/>
      <c r="O50" s="24"/>
      <c r="P50" s="24"/>
      <c r="Q50" s="24"/>
      <c r="R50" s="24"/>
      <c r="S50" s="24"/>
      <c r="T50" s="24"/>
      <c r="U50" s="24"/>
      <c r="V50" s="24"/>
      <c r="W50" s="70"/>
      <c r="Y50" s="58"/>
      <c r="Z50" s="24"/>
      <c r="AA50" s="24"/>
      <c r="AB50" s="24"/>
      <c r="AC50" s="24"/>
      <c r="AD50" s="24"/>
      <c r="AE50" s="24"/>
      <c r="AF50" s="70"/>
      <c r="AH50" s="64"/>
      <c r="AI50" s="24"/>
      <c r="AJ50" s="24"/>
      <c r="AK50" s="24"/>
      <c r="AL50" s="24"/>
      <c r="AM50" s="24"/>
      <c r="AN50" s="24"/>
      <c r="AO50" s="70"/>
      <c r="AQ50" s="64"/>
      <c r="AR50" s="24"/>
      <c r="AS50" s="24"/>
      <c r="AT50" s="24"/>
      <c r="AU50" s="24"/>
      <c r="AV50" s="24"/>
      <c r="AW50" s="24"/>
      <c r="AX50" s="70"/>
      <c r="BA50" s="76"/>
      <c r="BB50" s="24"/>
      <c r="BC50" s="24"/>
      <c r="BD50" s="24"/>
      <c r="BE50" s="24"/>
      <c r="BF50" s="81"/>
      <c r="BG50" s="81"/>
      <c r="BH50" s="81"/>
      <c r="BI50" s="24"/>
      <c r="BJ50" s="24"/>
      <c r="BK50" s="70"/>
      <c r="BL50" s="24"/>
      <c r="BM50" s="76"/>
      <c r="BN50" s="24"/>
      <c r="BO50" s="24"/>
      <c r="BP50" s="24"/>
      <c r="BQ50" s="24"/>
      <c r="BR50" s="81"/>
      <c r="BS50" s="81"/>
      <c r="BT50" s="81"/>
      <c r="BU50" s="81"/>
      <c r="BV50" s="70"/>
      <c r="BX50" s="76"/>
      <c r="BY50" s="24"/>
      <c r="BZ50" s="24"/>
      <c r="CA50" s="24"/>
      <c r="CB50" s="24"/>
      <c r="CC50" s="24"/>
      <c r="CD50" s="24"/>
      <c r="CE50" s="24"/>
      <c r="CF50" s="70"/>
    </row>
    <row r="51" spans="9:84" ht="12.75" customHeight="1">
      <c r="N51" s="65"/>
      <c r="W51" s="69"/>
      <c r="X51" s="18"/>
      <c r="Y51" s="64"/>
      <c r="Z51" s="24"/>
      <c r="AA51" s="24"/>
      <c r="AB51" s="24"/>
      <c r="AC51" s="24"/>
      <c r="AD51" s="24"/>
      <c r="AE51" s="24"/>
      <c r="AF51" s="70"/>
      <c r="AH51" s="64"/>
      <c r="AO51" s="69"/>
      <c r="AQ51" s="64"/>
      <c r="AX51" s="69"/>
      <c r="BA51" s="76"/>
      <c r="BK51" s="69"/>
      <c r="BM51" s="76"/>
      <c r="BV51" s="69"/>
      <c r="BX51" s="76"/>
      <c r="CF51" s="69"/>
    </row>
    <row r="52" spans="9:84" ht="12.75" customHeight="1">
      <c r="N52" s="52" t="s">
        <v>329</v>
      </c>
      <c r="O52" s="18"/>
      <c r="P52" s="18"/>
      <c r="Q52" s="18"/>
      <c r="R52" s="18"/>
      <c r="S52" s="18"/>
      <c r="T52" s="18"/>
      <c r="U52" s="18"/>
      <c r="V52" s="18"/>
      <c r="W52" s="67"/>
      <c r="X52" s="24"/>
      <c r="Y52" s="52" t="s">
        <v>329</v>
      </c>
      <c r="Z52" s="18"/>
      <c r="AA52" s="18"/>
      <c r="AB52" s="18"/>
      <c r="AC52" s="18"/>
      <c r="AD52" s="18"/>
      <c r="AE52" s="18"/>
      <c r="AF52" s="67"/>
      <c r="AH52" s="52" t="s">
        <v>329</v>
      </c>
      <c r="AI52" s="18"/>
      <c r="AJ52" s="18"/>
      <c r="AK52" s="18"/>
      <c r="AL52" s="18"/>
      <c r="AM52" s="18"/>
      <c r="AN52" s="18"/>
      <c r="AO52" s="67"/>
      <c r="AQ52" s="52" t="s">
        <v>329</v>
      </c>
      <c r="AR52" s="18"/>
      <c r="AS52" s="18"/>
      <c r="AT52" s="18"/>
      <c r="AU52" s="18"/>
      <c r="AV52" s="18"/>
      <c r="AW52" s="18"/>
      <c r="AX52" s="67"/>
      <c r="BA52" s="52" t="s">
        <v>329</v>
      </c>
      <c r="BK52" s="69"/>
      <c r="BM52" s="52" t="s">
        <v>329</v>
      </c>
      <c r="BV52" s="69"/>
      <c r="BX52" s="52" t="s">
        <v>329</v>
      </c>
      <c r="CF52" s="69"/>
    </row>
    <row r="53" spans="9:84" ht="12.75" customHeight="1">
      <c r="N53" s="62" t="s">
        <v>330</v>
      </c>
      <c r="O53" s="54">
        <v>1600</v>
      </c>
      <c r="P53" s="54">
        <v>2000</v>
      </c>
      <c r="Q53" s="54">
        <v>3000</v>
      </c>
      <c r="R53" s="54">
        <v>4000</v>
      </c>
      <c r="S53" s="54">
        <v>5000</v>
      </c>
      <c r="T53" s="54"/>
      <c r="U53" s="54"/>
      <c r="V53" s="54"/>
      <c r="W53" s="68"/>
      <c r="X53" s="24"/>
      <c r="Y53" s="62" t="s">
        <v>330</v>
      </c>
      <c r="Z53" s="54">
        <v>3000</v>
      </c>
      <c r="AA53" s="54">
        <v>4000</v>
      </c>
      <c r="AB53" s="54">
        <v>5000</v>
      </c>
      <c r="AC53" s="54"/>
      <c r="AD53" s="54"/>
      <c r="AE53" s="54"/>
      <c r="AF53" s="68"/>
      <c r="AH53" s="62" t="s">
        <v>330</v>
      </c>
      <c r="AI53" s="54">
        <v>1600</v>
      </c>
      <c r="AJ53" s="54">
        <v>2000</v>
      </c>
      <c r="AK53" s="54">
        <v>3000</v>
      </c>
      <c r="AL53" s="54">
        <v>4000</v>
      </c>
      <c r="AM53" s="54">
        <v>5000</v>
      </c>
      <c r="AN53" s="72"/>
      <c r="AO53" s="68"/>
      <c r="AQ53" s="62" t="s">
        <v>330</v>
      </c>
      <c r="AR53" s="54">
        <v>3000</v>
      </c>
      <c r="AS53" s="54">
        <v>4000</v>
      </c>
      <c r="AT53" s="54">
        <v>5000</v>
      </c>
      <c r="AU53" s="54"/>
      <c r="AV53" s="54"/>
      <c r="AW53" s="72"/>
      <c r="AX53" s="68"/>
      <c r="BA53" s="53" t="s">
        <v>314</v>
      </c>
      <c r="BB53" s="54">
        <v>400</v>
      </c>
      <c r="BC53" s="54">
        <v>630</v>
      </c>
      <c r="BD53" s="54">
        <v>800</v>
      </c>
      <c r="BE53" s="54">
        <v>1000</v>
      </c>
      <c r="BF53" s="85">
        <f>IF('轿厢&gt;井道'!$B$25="GOST 33984.1","-",1150)</f>
        <v>1150</v>
      </c>
      <c r="BG53" s="85">
        <f>IF('轿厢&gt;井道'!$B$25="GOST 33984.1","-",1250)</f>
        <v>1250</v>
      </c>
      <c r="BH53" s="85">
        <f>IF('轿厢&gt;井道'!$B$25="GOST 33984.1","-",1350)</f>
        <v>1350</v>
      </c>
      <c r="BI53" s="54">
        <v>1600</v>
      </c>
      <c r="BJ53" s="72"/>
      <c r="BK53" s="68" t="s">
        <v>92</v>
      </c>
      <c r="BL53" s="24"/>
      <c r="BM53" s="53" t="s">
        <v>314</v>
      </c>
      <c r="BN53" s="54">
        <v>400</v>
      </c>
      <c r="BO53" s="54">
        <v>630</v>
      </c>
      <c r="BP53" s="54">
        <v>800</v>
      </c>
      <c r="BQ53" s="54">
        <v>1000</v>
      </c>
      <c r="BR53" s="54">
        <v>1150</v>
      </c>
      <c r="BS53" s="54">
        <v>1250</v>
      </c>
      <c r="BT53" s="54">
        <v>1350</v>
      </c>
      <c r="BU53" s="54">
        <v>1600</v>
      </c>
      <c r="BV53" s="68" t="s">
        <v>92</v>
      </c>
      <c r="BX53" s="53" t="s">
        <v>314</v>
      </c>
      <c r="BY53" s="54">
        <v>630</v>
      </c>
      <c r="BZ53" s="54">
        <v>800</v>
      </c>
      <c r="CA53" s="54">
        <v>1000</v>
      </c>
      <c r="CB53" s="72">
        <v>1150</v>
      </c>
      <c r="CC53" s="54">
        <v>1250</v>
      </c>
      <c r="CD53" s="54">
        <v>1350</v>
      </c>
      <c r="CE53" s="54">
        <v>1600</v>
      </c>
      <c r="CF53" s="68">
        <v>2000</v>
      </c>
    </row>
    <row r="54" spans="9:84" ht="12.75" customHeight="1">
      <c r="N54" s="56">
        <v>0.5</v>
      </c>
      <c r="O54" s="19" t="s">
        <v>92</v>
      </c>
      <c r="P54" s="19" t="s">
        <v>92</v>
      </c>
      <c r="Q54" s="19" t="s">
        <v>92</v>
      </c>
      <c r="R54" s="19" t="s">
        <v>92</v>
      </c>
      <c r="S54" s="19" t="s">
        <v>92</v>
      </c>
      <c r="T54" s="19"/>
      <c r="U54" s="19"/>
      <c r="V54" s="19"/>
      <c r="W54" s="71"/>
      <c r="Y54" s="56">
        <v>0.5</v>
      </c>
      <c r="Z54" s="19" t="s">
        <v>92</v>
      </c>
      <c r="AA54" s="19" t="s">
        <v>92</v>
      </c>
      <c r="AB54" s="19" t="s">
        <v>92</v>
      </c>
      <c r="AC54" s="19"/>
      <c r="AD54" s="19"/>
      <c r="AE54" s="19"/>
      <c r="AF54" s="71"/>
      <c r="AH54" s="56">
        <v>0.5</v>
      </c>
      <c r="AI54" s="19" t="s">
        <v>92</v>
      </c>
      <c r="AJ54" s="19" t="s">
        <v>92</v>
      </c>
      <c r="AK54" s="19" t="s">
        <v>92</v>
      </c>
      <c r="AL54" s="19" t="s">
        <v>92</v>
      </c>
      <c r="AM54" s="19" t="s">
        <v>92</v>
      </c>
      <c r="AN54" s="73"/>
      <c r="AO54" s="71"/>
      <c r="AQ54" s="56">
        <v>0.5</v>
      </c>
      <c r="AR54" s="19" t="s">
        <v>92</v>
      </c>
      <c r="AS54" s="19" t="s">
        <v>92</v>
      </c>
      <c r="AT54" s="19" t="s">
        <v>92</v>
      </c>
      <c r="AU54" s="19"/>
      <c r="AV54" s="19"/>
      <c r="AW54" s="73"/>
      <c r="AX54" s="71"/>
      <c r="BA54" s="56">
        <v>1</v>
      </c>
      <c r="BB54" s="19" t="s">
        <v>92</v>
      </c>
      <c r="BC54" s="19" t="s">
        <v>92</v>
      </c>
      <c r="BD54" s="19" t="s">
        <v>92</v>
      </c>
      <c r="BE54" s="19" t="s">
        <v>92</v>
      </c>
      <c r="BF54" s="79" t="s">
        <v>92</v>
      </c>
      <c r="BG54" s="79" t="s">
        <v>92</v>
      </c>
      <c r="BH54" s="79" t="s">
        <v>92</v>
      </c>
      <c r="BI54" s="19" t="s">
        <v>92</v>
      </c>
      <c r="BJ54" s="73"/>
      <c r="BK54" s="71" t="s">
        <v>92</v>
      </c>
      <c r="BL54" s="24"/>
      <c r="BM54" s="56">
        <v>1</v>
      </c>
      <c r="BN54" s="19" t="s">
        <v>331</v>
      </c>
      <c r="BO54" s="19" t="s">
        <v>332</v>
      </c>
      <c r="BP54" s="19" t="s">
        <v>332</v>
      </c>
      <c r="BQ54" s="19" t="s">
        <v>332</v>
      </c>
      <c r="BR54" s="19" t="s">
        <v>332</v>
      </c>
      <c r="BS54" s="19" t="s">
        <v>333</v>
      </c>
      <c r="BT54" s="19" t="s">
        <v>333</v>
      </c>
      <c r="BU54" s="19" t="s">
        <v>333</v>
      </c>
      <c r="BV54" s="71" t="s">
        <v>92</v>
      </c>
      <c r="BX54" s="56">
        <v>1</v>
      </c>
      <c r="BY54" s="19" t="s">
        <v>92</v>
      </c>
      <c r="BZ54" s="19" t="s">
        <v>92</v>
      </c>
      <c r="CA54" s="19" t="s">
        <v>92</v>
      </c>
      <c r="CB54" s="19" t="s">
        <v>92</v>
      </c>
      <c r="CC54" s="19" t="s">
        <v>92</v>
      </c>
      <c r="CD54" s="19" t="s">
        <v>92</v>
      </c>
      <c r="CE54" s="19" t="s">
        <v>92</v>
      </c>
      <c r="CF54" s="71" t="s">
        <v>92</v>
      </c>
    </row>
    <row r="55" spans="9:84" ht="12.75" customHeight="1">
      <c r="N55" s="56">
        <v>1</v>
      </c>
      <c r="O55" s="19" t="s">
        <v>92</v>
      </c>
      <c r="P55" s="19" t="s">
        <v>92</v>
      </c>
      <c r="Q55" s="19" t="s">
        <v>92</v>
      </c>
      <c r="R55" s="19" t="s">
        <v>92</v>
      </c>
      <c r="S55" s="19" t="s">
        <v>92</v>
      </c>
      <c r="T55" s="19"/>
      <c r="U55" s="19"/>
      <c r="V55" s="19"/>
      <c r="W55" s="71"/>
      <c r="X55" s="18"/>
      <c r="Y55" s="56">
        <v>1</v>
      </c>
      <c r="Z55" s="19" t="s">
        <v>92</v>
      </c>
      <c r="AA55" s="19" t="s">
        <v>92</v>
      </c>
      <c r="AB55" s="19" t="s">
        <v>92</v>
      </c>
      <c r="AC55" s="19"/>
      <c r="AD55" s="19"/>
      <c r="AE55" s="19"/>
      <c r="AF55" s="71"/>
      <c r="AH55" s="56">
        <v>1</v>
      </c>
      <c r="AI55" s="19" t="s">
        <v>92</v>
      </c>
      <c r="AJ55" s="19" t="s">
        <v>92</v>
      </c>
      <c r="AK55" s="19" t="s">
        <v>92</v>
      </c>
      <c r="AL55" s="19" t="s">
        <v>92</v>
      </c>
      <c r="AM55" s="19" t="s">
        <v>92</v>
      </c>
      <c r="AN55" s="73"/>
      <c r="AO55" s="71"/>
      <c r="AQ55" s="56">
        <v>1</v>
      </c>
      <c r="AR55" s="19" t="s">
        <v>92</v>
      </c>
      <c r="AS55" s="19" t="s">
        <v>92</v>
      </c>
      <c r="AT55" s="19" t="s">
        <v>92</v>
      </c>
      <c r="AU55" s="19"/>
      <c r="AV55" s="19"/>
      <c r="AW55" s="73"/>
      <c r="AX55" s="71"/>
      <c r="BA55" s="56">
        <v>1.5</v>
      </c>
      <c r="BB55" s="19" t="s">
        <v>92</v>
      </c>
      <c r="BC55" s="19" t="s">
        <v>92</v>
      </c>
      <c r="BD55" s="19" t="s">
        <v>92</v>
      </c>
      <c r="BE55" s="19" t="s">
        <v>92</v>
      </c>
      <c r="BF55" s="79" t="s">
        <v>92</v>
      </c>
      <c r="BG55" s="79" t="s">
        <v>92</v>
      </c>
      <c r="BH55" s="79" t="s">
        <v>92</v>
      </c>
      <c r="BI55" s="19" t="s">
        <v>92</v>
      </c>
      <c r="BJ55" s="73"/>
      <c r="BK55" s="71" t="s">
        <v>92</v>
      </c>
      <c r="BL55" s="24"/>
      <c r="BM55" s="56">
        <v>1.5</v>
      </c>
      <c r="BN55" s="19" t="s">
        <v>331</v>
      </c>
      <c r="BO55" s="19" t="s">
        <v>332</v>
      </c>
      <c r="BP55" s="19" t="s">
        <v>332</v>
      </c>
      <c r="BQ55" s="19" t="s">
        <v>332</v>
      </c>
      <c r="BR55" s="19" t="s">
        <v>332</v>
      </c>
      <c r="BS55" s="19" t="s">
        <v>333</v>
      </c>
      <c r="BT55" s="19" t="s">
        <v>333</v>
      </c>
      <c r="BU55" s="19" t="s">
        <v>333</v>
      </c>
      <c r="BV55" s="71" t="s">
        <v>92</v>
      </c>
      <c r="BX55" s="56">
        <v>1.5</v>
      </c>
      <c r="BY55" s="19" t="s">
        <v>92</v>
      </c>
      <c r="BZ55" s="19" t="s">
        <v>92</v>
      </c>
      <c r="CA55" s="19" t="s">
        <v>92</v>
      </c>
      <c r="CB55" s="19" t="s">
        <v>92</v>
      </c>
      <c r="CC55" s="19" t="s">
        <v>92</v>
      </c>
      <c r="CD55" s="19" t="s">
        <v>92</v>
      </c>
      <c r="CE55" s="19" t="s">
        <v>92</v>
      </c>
      <c r="CF55" s="71" t="s">
        <v>92</v>
      </c>
    </row>
    <row r="56" spans="9:84" ht="12.75" customHeight="1">
      <c r="I56" s="66"/>
      <c r="J56" s="66"/>
      <c r="K56" s="66"/>
      <c r="N56" s="56"/>
      <c r="O56" s="19"/>
      <c r="P56" s="19"/>
      <c r="Q56" s="19"/>
      <c r="R56" s="19"/>
      <c r="S56" s="19"/>
      <c r="T56" s="19"/>
      <c r="U56" s="19"/>
      <c r="V56" s="19"/>
      <c r="W56" s="71"/>
      <c r="X56" s="24"/>
      <c r="Y56" s="56"/>
      <c r="Z56" s="19"/>
      <c r="AA56" s="19"/>
      <c r="AB56" s="19"/>
      <c r="AC56" s="19"/>
      <c r="AD56" s="19"/>
      <c r="AE56" s="19"/>
      <c r="AF56" s="71"/>
      <c r="AH56" s="56"/>
      <c r="AI56" s="19"/>
      <c r="AJ56" s="19"/>
      <c r="AK56" s="19"/>
      <c r="AL56" s="19"/>
      <c r="AM56" s="73"/>
      <c r="AN56" s="73"/>
      <c r="AO56" s="71"/>
      <c r="AQ56" s="56"/>
      <c r="AR56" s="19"/>
      <c r="AS56" s="19"/>
      <c r="AT56" s="19"/>
      <c r="AU56" s="19"/>
      <c r="AV56" s="73"/>
      <c r="AW56" s="73"/>
      <c r="AX56" s="71"/>
      <c r="BA56" s="56">
        <v>1.6</v>
      </c>
      <c r="BB56" s="19" t="s">
        <v>92</v>
      </c>
      <c r="BC56" s="19" t="s">
        <v>92</v>
      </c>
      <c r="BD56" s="19" t="s">
        <v>92</v>
      </c>
      <c r="BE56" s="19" t="s">
        <v>92</v>
      </c>
      <c r="BF56" s="79" t="s">
        <v>92</v>
      </c>
      <c r="BG56" s="79" t="s">
        <v>92</v>
      </c>
      <c r="BH56" s="79" t="s">
        <v>92</v>
      </c>
      <c r="BI56" s="19" t="s">
        <v>92</v>
      </c>
      <c r="BJ56" s="73"/>
      <c r="BK56" s="71" t="s">
        <v>92</v>
      </c>
      <c r="BL56" s="24"/>
      <c r="BM56" s="56">
        <v>1.6</v>
      </c>
      <c r="BN56" s="19" t="s">
        <v>331</v>
      </c>
      <c r="BO56" s="19" t="s">
        <v>332</v>
      </c>
      <c r="BP56" s="19" t="s">
        <v>332</v>
      </c>
      <c r="BQ56" s="19" t="s">
        <v>332</v>
      </c>
      <c r="BR56" s="19" t="s">
        <v>332</v>
      </c>
      <c r="BS56" s="19" t="s">
        <v>333</v>
      </c>
      <c r="BT56" s="19" t="s">
        <v>333</v>
      </c>
      <c r="BU56" s="19" t="s">
        <v>333</v>
      </c>
      <c r="BV56" s="71" t="s">
        <v>92</v>
      </c>
      <c r="BX56" s="56">
        <v>1.75</v>
      </c>
      <c r="BY56" s="19" t="s">
        <v>92</v>
      </c>
      <c r="BZ56" s="19" t="s">
        <v>92</v>
      </c>
      <c r="CA56" s="19" t="s">
        <v>92</v>
      </c>
      <c r="CB56" s="19" t="s">
        <v>92</v>
      </c>
      <c r="CC56" s="19" t="s">
        <v>92</v>
      </c>
      <c r="CD56" s="19" t="s">
        <v>92</v>
      </c>
      <c r="CE56" s="19" t="s">
        <v>92</v>
      </c>
      <c r="CF56" s="71" t="s">
        <v>92</v>
      </c>
    </row>
    <row r="57" spans="9:84" ht="12.75" customHeight="1">
      <c r="I57" s="57"/>
      <c r="J57" s="57"/>
      <c r="K57" s="57"/>
      <c r="N57" s="56"/>
      <c r="O57" s="31"/>
      <c r="P57" s="31"/>
      <c r="Q57" s="31"/>
      <c r="R57" s="19"/>
      <c r="S57" s="19"/>
      <c r="T57" s="19"/>
      <c r="U57" s="19"/>
      <c r="V57" s="19"/>
      <c r="W57" s="71"/>
      <c r="X57" s="24"/>
      <c r="Y57" s="56"/>
      <c r="Z57" s="19"/>
      <c r="AA57" s="19"/>
      <c r="AB57" s="19"/>
      <c r="AC57" s="19"/>
      <c r="AD57" s="19"/>
      <c r="AE57" s="19"/>
      <c r="AF57" s="71"/>
      <c r="AH57" s="56"/>
      <c r="AI57" s="19"/>
      <c r="AJ57" s="19"/>
      <c r="AK57" s="19"/>
      <c r="AL57" s="19"/>
      <c r="AM57" s="73"/>
      <c r="AN57" s="73"/>
      <c r="AO57" s="71"/>
      <c r="AQ57" s="56"/>
      <c r="AR57" s="19"/>
      <c r="AS57" s="19"/>
      <c r="AT57" s="19"/>
      <c r="AU57" s="19"/>
      <c r="AV57" s="73"/>
      <c r="AW57" s="73"/>
      <c r="AX57" s="71"/>
      <c r="BA57" s="56">
        <v>1.75</v>
      </c>
      <c r="BB57" s="19" t="s">
        <v>92</v>
      </c>
      <c r="BC57" s="19" t="s">
        <v>92</v>
      </c>
      <c r="BD57" s="19" t="s">
        <v>92</v>
      </c>
      <c r="BE57" s="19" t="s">
        <v>92</v>
      </c>
      <c r="BF57" s="79" t="s">
        <v>92</v>
      </c>
      <c r="BG57" s="79" t="s">
        <v>92</v>
      </c>
      <c r="BH57" s="79" t="s">
        <v>92</v>
      </c>
      <c r="BI57" s="19" t="s">
        <v>92</v>
      </c>
      <c r="BJ57" s="73"/>
      <c r="BK57" s="71" t="s">
        <v>92</v>
      </c>
      <c r="BL57" s="24"/>
      <c r="BM57" s="56">
        <v>1.75</v>
      </c>
      <c r="BN57" s="19" t="s">
        <v>331</v>
      </c>
      <c r="BO57" s="19" t="s">
        <v>332</v>
      </c>
      <c r="BP57" s="19" t="s">
        <v>332</v>
      </c>
      <c r="BQ57" s="19" t="s">
        <v>332</v>
      </c>
      <c r="BR57" s="19" t="s">
        <v>332</v>
      </c>
      <c r="BS57" s="19" t="s">
        <v>333</v>
      </c>
      <c r="BT57" s="19" t="s">
        <v>333</v>
      </c>
      <c r="BU57" s="19" t="s">
        <v>333</v>
      </c>
      <c r="BV57" s="71" t="s">
        <v>92</v>
      </c>
      <c r="BX57" s="56">
        <v>2</v>
      </c>
      <c r="BY57" s="19" t="s">
        <v>92</v>
      </c>
      <c r="BZ57" s="19" t="s">
        <v>92</v>
      </c>
      <c r="CA57" s="19" t="s">
        <v>92</v>
      </c>
      <c r="CB57" s="19" t="s">
        <v>92</v>
      </c>
      <c r="CC57" s="19" t="s">
        <v>92</v>
      </c>
      <c r="CD57" s="19" t="s">
        <v>92</v>
      </c>
      <c r="CE57" s="19" t="s">
        <v>92</v>
      </c>
      <c r="CF57" s="71" t="s">
        <v>92</v>
      </c>
    </row>
    <row r="58" spans="9:84" ht="12.75" customHeight="1">
      <c r="I58" s="57"/>
      <c r="J58" s="57"/>
      <c r="K58" s="57"/>
      <c r="N58" s="56"/>
      <c r="O58" s="19"/>
      <c r="P58" s="19"/>
      <c r="Q58" s="19"/>
      <c r="R58" s="19"/>
      <c r="S58" s="19"/>
      <c r="T58" s="19"/>
      <c r="U58" s="31"/>
      <c r="V58" s="19"/>
      <c r="W58" s="71"/>
      <c r="Y58" s="56"/>
      <c r="Z58" s="19"/>
      <c r="AA58" s="19"/>
      <c r="AB58" s="19"/>
      <c r="AC58" s="19"/>
      <c r="AD58" s="19"/>
      <c r="AE58" s="19"/>
      <c r="AF58" s="71"/>
      <c r="AH58" s="56"/>
      <c r="AI58" s="19"/>
      <c r="AJ58" s="19"/>
      <c r="AK58" s="19"/>
      <c r="AL58" s="19"/>
      <c r="AM58" s="73"/>
      <c r="AN58" s="73"/>
      <c r="AO58" s="71"/>
      <c r="AQ58" s="56"/>
      <c r="AR58" s="19"/>
      <c r="AS58" s="19"/>
      <c r="AT58" s="19"/>
      <c r="AU58" s="19"/>
      <c r="AV58" s="73"/>
      <c r="AW58" s="73"/>
      <c r="AX58" s="71"/>
      <c r="BA58" s="56">
        <v>2</v>
      </c>
      <c r="BB58" s="19" t="s">
        <v>92</v>
      </c>
      <c r="BC58" s="19" t="s">
        <v>92</v>
      </c>
      <c r="BD58" s="19" t="s">
        <v>92</v>
      </c>
      <c r="BE58" s="19" t="s">
        <v>92</v>
      </c>
      <c r="BF58" s="79" t="s">
        <v>92</v>
      </c>
      <c r="BG58" s="79" t="s">
        <v>92</v>
      </c>
      <c r="BH58" s="79" t="s">
        <v>92</v>
      </c>
      <c r="BI58" s="19" t="s">
        <v>92</v>
      </c>
      <c r="BJ58" s="73"/>
      <c r="BK58" s="71" t="s">
        <v>92</v>
      </c>
      <c r="BL58" s="24"/>
      <c r="BM58" s="56">
        <v>2</v>
      </c>
      <c r="BN58" s="19" t="s">
        <v>92</v>
      </c>
      <c r="BO58" s="19" t="s">
        <v>92</v>
      </c>
      <c r="BP58" s="19" t="s">
        <v>332</v>
      </c>
      <c r="BQ58" s="19" t="s">
        <v>332</v>
      </c>
      <c r="BR58" s="19" t="s">
        <v>332</v>
      </c>
      <c r="BS58" s="19" t="s">
        <v>333</v>
      </c>
      <c r="BT58" s="19" t="s">
        <v>333</v>
      </c>
      <c r="BU58" s="19" t="s">
        <v>333</v>
      </c>
      <c r="BV58" s="71" t="s">
        <v>92</v>
      </c>
      <c r="BX58" s="56">
        <v>2.5</v>
      </c>
      <c r="BY58" s="19" t="s">
        <v>92</v>
      </c>
      <c r="BZ58" s="19" t="s">
        <v>92</v>
      </c>
      <c r="CA58" s="19" t="s">
        <v>92</v>
      </c>
      <c r="CB58" s="19" t="s">
        <v>92</v>
      </c>
      <c r="CC58" s="19" t="s">
        <v>92</v>
      </c>
      <c r="CD58" s="19" t="s">
        <v>92</v>
      </c>
      <c r="CE58" s="19" t="s">
        <v>92</v>
      </c>
      <c r="CF58" s="71" t="s">
        <v>92</v>
      </c>
    </row>
    <row r="59" spans="9:84" ht="12.75" customHeight="1">
      <c r="I59" s="57"/>
      <c r="J59" s="57"/>
      <c r="K59" s="57"/>
      <c r="N59" s="58"/>
      <c r="O59" s="18"/>
      <c r="P59" s="18"/>
      <c r="Q59" s="18"/>
      <c r="R59" s="18"/>
      <c r="S59" s="18"/>
      <c r="T59" s="18"/>
      <c r="U59" s="18"/>
      <c r="V59" s="18"/>
      <c r="W59" s="67"/>
      <c r="X59" s="18"/>
      <c r="Y59" s="56"/>
      <c r="Z59" s="19"/>
      <c r="AA59" s="19"/>
      <c r="AB59" s="19"/>
      <c r="AC59" s="19"/>
      <c r="AD59" s="19"/>
      <c r="AE59" s="19"/>
      <c r="AF59" s="71"/>
      <c r="AH59" s="56"/>
      <c r="AI59" s="19"/>
      <c r="AJ59" s="19"/>
      <c r="AK59" s="19"/>
      <c r="AL59" s="19"/>
      <c r="AM59" s="73"/>
      <c r="AN59" s="73"/>
      <c r="AO59" s="71"/>
      <c r="AQ59" s="56"/>
      <c r="AR59" s="19"/>
      <c r="AS59" s="19"/>
      <c r="AT59" s="19"/>
      <c r="AU59" s="19"/>
      <c r="AV59" s="73"/>
      <c r="AW59" s="73"/>
      <c r="AX59" s="71"/>
      <c r="BA59" s="56">
        <v>2.5</v>
      </c>
      <c r="BB59" s="19" t="s">
        <v>92</v>
      </c>
      <c r="BC59" s="19" t="s">
        <v>92</v>
      </c>
      <c r="BD59" s="19" t="s">
        <v>92</v>
      </c>
      <c r="BE59" s="19" t="s">
        <v>92</v>
      </c>
      <c r="BF59" s="79" t="s">
        <v>92</v>
      </c>
      <c r="BG59" s="79" t="s">
        <v>92</v>
      </c>
      <c r="BH59" s="79" t="s">
        <v>92</v>
      </c>
      <c r="BI59" s="19" t="s">
        <v>92</v>
      </c>
      <c r="BJ59" s="73"/>
      <c r="BK59" s="71" t="s">
        <v>92</v>
      </c>
      <c r="BL59" s="24"/>
      <c r="BM59" s="56">
        <v>2.5</v>
      </c>
      <c r="BN59" s="19" t="s">
        <v>92</v>
      </c>
      <c r="BO59" s="19" t="s">
        <v>92</v>
      </c>
      <c r="BP59" s="19" t="s">
        <v>334</v>
      </c>
      <c r="BQ59" s="19" t="s">
        <v>334</v>
      </c>
      <c r="BR59" s="19" t="s">
        <v>334</v>
      </c>
      <c r="BS59" s="19" t="s">
        <v>333</v>
      </c>
      <c r="BT59" s="19" t="s">
        <v>333</v>
      </c>
      <c r="BU59" s="19" t="s">
        <v>333</v>
      </c>
      <c r="BV59" s="71" t="s">
        <v>92</v>
      </c>
      <c r="BX59" s="65"/>
      <c r="CF59" s="69"/>
    </row>
    <row r="60" spans="9:84" ht="12.75" customHeight="1">
      <c r="I60" s="57"/>
      <c r="J60" s="57"/>
      <c r="K60" s="57"/>
      <c r="N60" s="64"/>
      <c r="O60" s="18"/>
      <c r="P60" s="18"/>
      <c r="Q60" s="18"/>
      <c r="R60" s="18"/>
      <c r="S60" s="18"/>
      <c r="T60" s="18"/>
      <c r="U60" s="18"/>
      <c r="V60" s="18"/>
      <c r="W60" s="67"/>
      <c r="X60" s="24"/>
      <c r="Y60" s="64"/>
      <c r="Z60" s="18"/>
      <c r="AA60" s="18"/>
      <c r="AB60" s="18"/>
      <c r="AC60" s="18"/>
      <c r="AD60" s="18"/>
      <c r="AE60" s="18"/>
      <c r="AF60" s="67"/>
      <c r="AH60" s="58"/>
      <c r="AI60" s="24"/>
      <c r="AJ60" s="24"/>
      <c r="AK60" s="24"/>
      <c r="AL60" s="24"/>
      <c r="AM60" s="24"/>
      <c r="AN60" s="24"/>
      <c r="AO60" s="70"/>
      <c r="AQ60" s="58"/>
      <c r="AR60" s="24"/>
      <c r="AS60" s="24"/>
      <c r="AT60" s="24"/>
      <c r="AU60" s="24"/>
      <c r="AV60" s="24"/>
      <c r="AW60" s="24"/>
      <c r="AX60" s="70"/>
      <c r="BA60" s="65"/>
      <c r="BK60" s="69"/>
      <c r="BM60" s="65"/>
      <c r="BV60" s="69"/>
      <c r="BX60" s="65"/>
      <c r="CF60" s="69"/>
    </row>
    <row r="61" spans="9:84" ht="12.75" customHeight="1">
      <c r="I61" s="57"/>
      <c r="J61" s="57"/>
      <c r="K61" s="57"/>
      <c r="N61" s="64"/>
      <c r="O61" s="18"/>
      <c r="P61" s="18"/>
      <c r="Q61" s="18"/>
      <c r="R61" s="18"/>
      <c r="S61" s="18"/>
      <c r="T61" s="18"/>
      <c r="U61" s="18"/>
      <c r="V61" s="18"/>
      <c r="W61" s="67"/>
      <c r="X61" s="24"/>
      <c r="Y61" s="64"/>
      <c r="Z61" s="18"/>
      <c r="AA61" s="18"/>
      <c r="AB61" s="18"/>
      <c r="AC61" s="18"/>
      <c r="AD61" s="18"/>
      <c r="AE61" s="18"/>
      <c r="AF61" s="67"/>
      <c r="AH61" s="58"/>
      <c r="AI61" s="24"/>
      <c r="AJ61" s="24"/>
      <c r="AK61" s="24"/>
      <c r="AL61" s="24"/>
      <c r="AM61" s="24"/>
      <c r="AN61" s="24"/>
      <c r="AO61" s="70"/>
      <c r="AQ61" s="58"/>
      <c r="AR61" s="24"/>
      <c r="AS61" s="24"/>
      <c r="AT61" s="24"/>
      <c r="AU61" s="24"/>
      <c r="AV61" s="24"/>
      <c r="AW61" s="24"/>
      <c r="AX61" s="70"/>
      <c r="BA61" s="65"/>
      <c r="BK61" s="69"/>
      <c r="BM61" s="65"/>
      <c r="BV61" s="69"/>
      <c r="BX61" s="65"/>
      <c r="CF61" s="69"/>
    </row>
    <row r="62" spans="9:84" ht="12.75" customHeight="1">
      <c r="I62" s="57"/>
      <c r="J62" s="57"/>
      <c r="K62" s="57"/>
      <c r="N62" s="64"/>
      <c r="W62" s="69"/>
      <c r="Y62" s="64"/>
      <c r="Z62" s="18"/>
      <c r="AA62" s="18"/>
      <c r="AB62" s="18"/>
      <c r="AC62" s="18"/>
      <c r="AD62" s="18"/>
      <c r="AE62" s="18"/>
      <c r="AF62" s="67"/>
      <c r="AH62" s="58"/>
      <c r="AI62" s="24"/>
      <c r="AJ62" s="24"/>
      <c r="AK62" s="24"/>
      <c r="AL62" s="24"/>
      <c r="AM62" s="24"/>
      <c r="AN62" s="24"/>
      <c r="AO62" s="70"/>
      <c r="AQ62" s="58"/>
      <c r="AR62" s="24"/>
      <c r="AS62" s="24"/>
      <c r="AT62" s="24"/>
      <c r="AU62" s="24"/>
      <c r="AV62" s="24"/>
      <c r="AW62" s="24"/>
      <c r="AX62" s="70"/>
      <c r="BA62" s="65"/>
      <c r="BK62" s="69"/>
      <c r="BM62" s="65"/>
      <c r="BV62" s="69"/>
      <c r="BX62" s="65"/>
      <c r="CF62" s="69"/>
    </row>
    <row r="63" spans="9:84" ht="12.75" customHeight="1">
      <c r="I63" s="57"/>
      <c r="J63" s="57"/>
      <c r="K63" s="57"/>
      <c r="N63" s="64"/>
      <c r="W63" s="69"/>
      <c r="X63" s="18"/>
      <c r="Y63" s="65"/>
      <c r="AF63" s="69"/>
      <c r="AH63" s="64"/>
      <c r="AI63" s="18"/>
      <c r="AJ63" s="18"/>
      <c r="AK63" s="18"/>
      <c r="AL63" s="18"/>
      <c r="AM63" s="18"/>
      <c r="AN63" s="18"/>
      <c r="AO63" s="67"/>
      <c r="AQ63" s="64"/>
      <c r="AR63" s="18"/>
      <c r="AS63" s="18"/>
      <c r="AT63" s="18"/>
      <c r="AU63" s="18"/>
      <c r="AV63" s="18"/>
      <c r="AW63" s="18"/>
      <c r="AX63" s="67"/>
      <c r="BA63" s="65"/>
      <c r="BK63" s="69"/>
      <c r="BM63" s="65"/>
      <c r="BV63" s="69"/>
      <c r="BX63" s="65"/>
      <c r="CF63" s="69"/>
    </row>
    <row r="64" spans="9:84" ht="12.75" customHeight="1">
      <c r="I64" s="57"/>
      <c r="J64" s="57"/>
      <c r="K64" s="57"/>
      <c r="N64" s="52" t="s">
        <v>335</v>
      </c>
      <c r="O64" s="18"/>
      <c r="P64" s="18"/>
      <c r="Q64" s="18"/>
      <c r="R64" s="18"/>
      <c r="S64" s="18"/>
      <c r="T64" s="18"/>
      <c r="U64" s="18"/>
      <c r="V64" s="18"/>
      <c r="W64" s="67"/>
      <c r="X64" s="24"/>
      <c r="Y64" s="52" t="s">
        <v>335</v>
      </c>
      <c r="Z64" s="18"/>
      <c r="AA64" s="18"/>
      <c r="AB64" s="18"/>
      <c r="AC64" s="18"/>
      <c r="AD64" s="18"/>
      <c r="AE64" s="18"/>
      <c r="AF64" s="67"/>
      <c r="AH64" s="52" t="s">
        <v>335</v>
      </c>
      <c r="AI64" s="18"/>
      <c r="AJ64" s="18"/>
      <c r="AK64" s="18"/>
      <c r="AL64" s="18"/>
      <c r="AM64" s="18"/>
      <c r="AN64" s="18"/>
      <c r="AO64" s="67"/>
      <c r="AQ64" s="52" t="s">
        <v>335</v>
      </c>
      <c r="AR64" s="18"/>
      <c r="AS64" s="18"/>
      <c r="AT64" s="18"/>
      <c r="AU64" s="18"/>
      <c r="AV64" s="18"/>
      <c r="AW64" s="18"/>
      <c r="AX64" s="67"/>
      <c r="BA64" s="52" t="s">
        <v>335</v>
      </c>
      <c r="BK64" s="69"/>
      <c r="BM64" s="52" t="s">
        <v>335</v>
      </c>
      <c r="BV64" s="69"/>
      <c r="BX64" s="52" t="s">
        <v>335</v>
      </c>
      <c r="CF64" s="69"/>
    </row>
    <row r="65" spans="9:84" ht="12.75" customHeight="1">
      <c r="I65" s="57"/>
      <c r="J65" s="57"/>
      <c r="K65" s="57"/>
      <c r="N65" s="62" t="s">
        <v>321</v>
      </c>
      <c r="O65" s="54">
        <v>1600</v>
      </c>
      <c r="P65" s="54">
        <v>2000</v>
      </c>
      <c r="Q65" s="54">
        <v>3000</v>
      </c>
      <c r="R65" s="54">
        <v>4000</v>
      </c>
      <c r="S65" s="54">
        <v>5000</v>
      </c>
      <c r="T65" s="54"/>
      <c r="U65" s="54"/>
      <c r="V65" s="54"/>
      <c r="W65" s="68"/>
      <c r="X65" s="24"/>
      <c r="Y65" s="62" t="s">
        <v>321</v>
      </c>
      <c r="Z65" s="54">
        <v>3000</v>
      </c>
      <c r="AA65" s="54">
        <v>4000</v>
      </c>
      <c r="AB65" s="54">
        <v>5000</v>
      </c>
      <c r="AC65" s="54"/>
      <c r="AD65" s="54"/>
      <c r="AE65" s="54"/>
      <c r="AF65" s="68"/>
      <c r="AH65" s="62" t="s">
        <v>321</v>
      </c>
      <c r="AI65" s="54">
        <v>1600</v>
      </c>
      <c r="AJ65" s="54">
        <v>2000</v>
      </c>
      <c r="AK65" s="54">
        <v>3000</v>
      </c>
      <c r="AL65" s="54">
        <v>4000</v>
      </c>
      <c r="AM65" s="54">
        <v>5000</v>
      </c>
      <c r="AN65" s="54"/>
      <c r="AO65" s="68"/>
      <c r="AQ65" s="62" t="s">
        <v>321</v>
      </c>
      <c r="AR65" s="54">
        <v>3000</v>
      </c>
      <c r="AS65" s="54">
        <v>4000</v>
      </c>
      <c r="AT65" s="54">
        <v>5000</v>
      </c>
      <c r="AU65" s="54"/>
      <c r="AV65" s="54"/>
      <c r="AW65" s="54"/>
      <c r="AX65" s="68"/>
      <c r="BA65" s="62" t="s">
        <v>321</v>
      </c>
      <c r="BB65" s="54">
        <v>400</v>
      </c>
      <c r="BC65" s="54">
        <v>630</v>
      </c>
      <c r="BD65" s="54">
        <v>800</v>
      </c>
      <c r="BE65" s="54">
        <v>1000</v>
      </c>
      <c r="BF65" s="54">
        <v>1150</v>
      </c>
      <c r="BG65" s="54">
        <v>1250</v>
      </c>
      <c r="BH65" s="54">
        <v>1350</v>
      </c>
      <c r="BI65" s="54">
        <v>1600</v>
      </c>
      <c r="BJ65" s="72">
        <v>1800</v>
      </c>
      <c r="BK65" s="68">
        <v>2000</v>
      </c>
      <c r="BL65" s="24"/>
      <c r="BM65" s="62" t="s">
        <v>321</v>
      </c>
      <c r="BN65" s="54">
        <v>400</v>
      </c>
      <c r="BO65" s="54">
        <v>630</v>
      </c>
      <c r="BP65" s="54">
        <v>800</v>
      </c>
      <c r="BQ65" s="54">
        <v>1000</v>
      </c>
      <c r="BR65" s="54">
        <v>1150</v>
      </c>
      <c r="BS65" s="54">
        <v>1250</v>
      </c>
      <c r="BT65" s="54">
        <v>1350</v>
      </c>
      <c r="BU65" s="54">
        <v>1600</v>
      </c>
      <c r="BV65" s="68" t="s">
        <v>92</v>
      </c>
      <c r="BX65" s="62" t="s">
        <v>321</v>
      </c>
      <c r="BY65" s="54">
        <v>630</v>
      </c>
      <c r="BZ65" s="54">
        <v>800</v>
      </c>
      <c r="CA65" s="54">
        <v>1000</v>
      </c>
      <c r="CB65" s="72">
        <v>1150</v>
      </c>
      <c r="CC65" s="54">
        <v>1250</v>
      </c>
      <c r="CD65" s="54">
        <v>1350</v>
      </c>
      <c r="CE65" s="54">
        <v>1600</v>
      </c>
      <c r="CF65" s="68">
        <v>2000</v>
      </c>
    </row>
    <row r="66" spans="9:84" ht="12.75" customHeight="1">
      <c r="I66" s="57"/>
      <c r="J66" s="57"/>
      <c r="K66" s="57"/>
      <c r="N66" s="56" t="s">
        <v>34</v>
      </c>
      <c r="O66" s="19" t="s">
        <v>92</v>
      </c>
      <c r="P66" s="19" t="s">
        <v>92</v>
      </c>
      <c r="Q66" s="19" t="s">
        <v>92</v>
      </c>
      <c r="R66" s="19" t="s">
        <v>92</v>
      </c>
      <c r="S66" s="19" t="s">
        <v>92</v>
      </c>
      <c r="T66" s="19"/>
      <c r="U66" s="19"/>
      <c r="V66" s="19"/>
      <c r="W66" s="71"/>
      <c r="X66" s="24"/>
      <c r="Y66" s="56" t="s">
        <v>19</v>
      </c>
      <c r="Z66" s="19">
        <v>2022</v>
      </c>
      <c r="AA66" s="19">
        <v>2707</v>
      </c>
      <c r="AB66" s="19">
        <v>2707</v>
      </c>
      <c r="AC66" s="19"/>
      <c r="AD66" s="19"/>
      <c r="AE66" s="19"/>
      <c r="AF66" s="71"/>
      <c r="AH66" s="56" t="s">
        <v>34</v>
      </c>
      <c r="AI66" s="19" t="s">
        <v>92</v>
      </c>
      <c r="AJ66" s="19" t="s">
        <v>92</v>
      </c>
      <c r="AK66" s="19" t="s">
        <v>92</v>
      </c>
      <c r="AL66" s="19" t="s">
        <v>92</v>
      </c>
      <c r="AM66" s="19" t="s">
        <v>92</v>
      </c>
      <c r="AN66" s="19"/>
      <c r="AO66" s="71"/>
      <c r="AQ66" s="56" t="s">
        <v>19</v>
      </c>
      <c r="AR66" s="19">
        <v>2022</v>
      </c>
      <c r="AS66" s="19">
        <v>2707</v>
      </c>
      <c r="AT66" s="19">
        <v>2707</v>
      </c>
      <c r="AU66" s="19"/>
      <c r="AV66" s="19"/>
      <c r="AW66" s="19"/>
      <c r="AX66" s="71"/>
      <c r="BA66" s="56" t="s">
        <v>34</v>
      </c>
      <c r="BB66" s="19">
        <v>1030</v>
      </c>
      <c r="BC66" s="19">
        <v>1030</v>
      </c>
      <c r="BD66" s="19">
        <v>1030</v>
      </c>
      <c r="BE66" s="19">
        <v>1030</v>
      </c>
      <c r="BF66" s="19">
        <v>1030</v>
      </c>
      <c r="BG66" s="19">
        <v>1030</v>
      </c>
      <c r="BH66" s="19">
        <v>1180</v>
      </c>
      <c r="BI66" s="19">
        <v>1180</v>
      </c>
      <c r="BJ66" s="73" t="s">
        <v>92</v>
      </c>
      <c r="BK66" s="71" t="s">
        <v>92</v>
      </c>
      <c r="BL66" s="24"/>
      <c r="BM66" s="56" t="s">
        <v>34</v>
      </c>
      <c r="BN66" s="19" t="s">
        <v>92</v>
      </c>
      <c r="BO66" s="19" t="s">
        <v>92</v>
      </c>
      <c r="BP66" s="19" t="s">
        <v>92</v>
      </c>
      <c r="BQ66" s="19" t="s">
        <v>92</v>
      </c>
      <c r="BR66" s="79" t="s">
        <v>92</v>
      </c>
      <c r="BS66" s="79" t="s">
        <v>92</v>
      </c>
      <c r="BT66" s="79" t="s">
        <v>92</v>
      </c>
      <c r="BU66" s="79" t="s">
        <v>92</v>
      </c>
      <c r="BV66" s="71" t="s">
        <v>92</v>
      </c>
      <c r="BX66" s="56" t="s">
        <v>34</v>
      </c>
      <c r="BY66" s="19">
        <v>1025</v>
      </c>
      <c r="BZ66" s="19">
        <v>1025</v>
      </c>
      <c r="CA66" s="19">
        <v>1025</v>
      </c>
      <c r="CB66" s="19">
        <v>1025</v>
      </c>
      <c r="CC66" s="19">
        <v>1025</v>
      </c>
      <c r="CD66" s="19">
        <v>1025</v>
      </c>
      <c r="CE66" s="19">
        <v>1175</v>
      </c>
      <c r="CF66" s="71" t="s">
        <v>92</v>
      </c>
    </row>
    <row r="67" spans="9:84" ht="12.75" customHeight="1">
      <c r="N67" s="56" t="s">
        <v>19</v>
      </c>
      <c r="O67" s="19">
        <v>1180</v>
      </c>
      <c r="P67" s="19">
        <v>1180</v>
      </c>
      <c r="Q67" s="19">
        <v>1540</v>
      </c>
      <c r="R67" s="19">
        <v>2022</v>
      </c>
      <c r="S67" s="19">
        <v>2022</v>
      </c>
      <c r="T67" s="19"/>
      <c r="U67" s="19"/>
      <c r="V67" s="19"/>
      <c r="W67" s="71"/>
      <c r="Y67" s="58"/>
      <c r="Z67" s="18"/>
      <c r="AA67" s="18"/>
      <c r="AB67" s="18"/>
      <c r="AC67" s="18"/>
      <c r="AD67" s="18"/>
      <c r="AE67" s="18"/>
      <c r="AF67" s="67"/>
      <c r="AH67" s="56" t="s">
        <v>19</v>
      </c>
      <c r="AI67" s="19">
        <v>1450</v>
      </c>
      <c r="AJ67" s="19">
        <v>1450</v>
      </c>
      <c r="AK67" s="19">
        <v>1682</v>
      </c>
      <c r="AL67" s="19">
        <v>2022</v>
      </c>
      <c r="AM67" s="19">
        <v>2022</v>
      </c>
      <c r="AN67" s="19"/>
      <c r="AO67" s="71"/>
      <c r="AQ67" s="58"/>
      <c r="AX67" s="69"/>
      <c r="BA67" s="56" t="s">
        <v>19</v>
      </c>
      <c r="BB67" s="19" t="s">
        <v>92</v>
      </c>
      <c r="BC67" s="19">
        <v>1030</v>
      </c>
      <c r="BD67" s="19">
        <v>1030</v>
      </c>
      <c r="BE67" s="19">
        <v>1030</v>
      </c>
      <c r="BF67" s="19">
        <v>1030</v>
      </c>
      <c r="BG67" s="19">
        <v>1030</v>
      </c>
      <c r="BH67" s="19">
        <v>1180</v>
      </c>
      <c r="BI67" s="19">
        <v>1180</v>
      </c>
      <c r="BJ67" s="19">
        <v>1180</v>
      </c>
      <c r="BK67" s="19">
        <v>1180</v>
      </c>
      <c r="BL67" s="24"/>
      <c r="BM67" s="56" t="s">
        <v>19</v>
      </c>
      <c r="BN67" s="19">
        <v>740</v>
      </c>
      <c r="BO67" s="19">
        <v>1030</v>
      </c>
      <c r="BP67" s="19">
        <v>1030</v>
      </c>
      <c r="BQ67" s="19">
        <v>1030</v>
      </c>
      <c r="BR67" s="79">
        <v>1030</v>
      </c>
      <c r="BS67" s="79">
        <v>1030</v>
      </c>
      <c r="BT67" s="79">
        <v>1180</v>
      </c>
      <c r="BU67" s="79">
        <v>1180</v>
      </c>
      <c r="BV67" s="71" t="s">
        <v>92</v>
      </c>
      <c r="BX67" s="56" t="s">
        <v>19</v>
      </c>
      <c r="BY67" s="19">
        <v>1025</v>
      </c>
      <c r="BZ67" s="19">
        <v>1025</v>
      </c>
      <c r="CA67" s="19">
        <v>1025</v>
      </c>
      <c r="CB67" s="19">
        <v>1025</v>
      </c>
      <c r="CC67" s="19">
        <v>1025</v>
      </c>
      <c r="CD67" s="19">
        <v>1025</v>
      </c>
      <c r="CE67" s="19">
        <v>1175</v>
      </c>
      <c r="CF67" s="71">
        <v>1175</v>
      </c>
    </row>
    <row r="68" spans="9:84" ht="12.75" customHeight="1">
      <c r="N68" s="65"/>
      <c r="W68" s="69"/>
      <c r="Y68" s="52" t="s">
        <v>336</v>
      </c>
      <c r="Z68" s="18"/>
      <c r="AA68" s="18"/>
      <c r="AB68" s="18"/>
      <c r="AC68" s="18"/>
      <c r="AD68" s="18"/>
      <c r="AE68" s="18"/>
      <c r="AF68" s="67"/>
      <c r="AH68" s="58"/>
      <c r="AO68" s="69"/>
      <c r="AQ68" s="52" t="s">
        <v>336</v>
      </c>
      <c r="AR68" s="18"/>
      <c r="AS68" s="18"/>
      <c r="AT68" s="18"/>
      <c r="AU68" s="18"/>
      <c r="AV68" s="18"/>
      <c r="AW68" s="18"/>
      <c r="AX68" s="67"/>
      <c r="BA68" s="65"/>
      <c r="BK68" s="69"/>
      <c r="BM68" s="65"/>
      <c r="BV68" s="69"/>
      <c r="BX68" s="65"/>
      <c r="CF68" s="69"/>
    </row>
    <row r="69" spans="9:84" ht="12.75" customHeight="1">
      <c r="N69" s="52" t="s">
        <v>336</v>
      </c>
      <c r="O69" s="18"/>
      <c r="P69" s="18"/>
      <c r="Q69" s="18"/>
      <c r="R69" s="18"/>
      <c r="S69" s="18"/>
      <c r="T69" s="18"/>
      <c r="U69" s="18"/>
      <c r="V69" s="18"/>
      <c r="W69" s="67"/>
      <c r="X69" s="18"/>
      <c r="Y69" s="56" t="s">
        <v>118</v>
      </c>
      <c r="Z69" s="54"/>
      <c r="AA69" s="54"/>
      <c r="AB69" s="54"/>
      <c r="AC69" s="54"/>
      <c r="AD69" s="54"/>
      <c r="AE69" s="54"/>
      <c r="AF69" s="68"/>
      <c r="AH69" s="52" t="s">
        <v>336</v>
      </c>
      <c r="AI69" s="18"/>
      <c r="AJ69" s="18"/>
      <c r="AK69" s="18"/>
      <c r="AL69" s="18"/>
      <c r="AM69" s="18"/>
      <c r="AN69" s="18"/>
      <c r="AO69" s="67"/>
      <c r="AQ69" s="56" t="s">
        <v>118</v>
      </c>
      <c r="AR69" s="54"/>
      <c r="AS69" s="54"/>
      <c r="AT69" s="54"/>
      <c r="AU69" s="54"/>
      <c r="AV69" s="54"/>
      <c r="AW69" s="72"/>
      <c r="AX69" s="68"/>
      <c r="BA69" s="52" t="s">
        <v>336</v>
      </c>
      <c r="BB69" s="18"/>
      <c r="BC69" s="18"/>
      <c r="BD69" s="18"/>
      <c r="BE69" s="18"/>
      <c r="BK69" s="69"/>
      <c r="BM69" s="52" t="s">
        <v>336</v>
      </c>
      <c r="BN69" s="18"/>
      <c r="BO69" s="18"/>
      <c r="BP69" s="18"/>
      <c r="BQ69" s="18"/>
      <c r="BV69" s="69"/>
      <c r="BX69" s="52" t="s">
        <v>336</v>
      </c>
      <c r="BY69" s="18"/>
      <c r="BZ69" s="18"/>
      <c r="CA69" s="18"/>
      <c r="CB69" s="18"/>
      <c r="CF69" s="69"/>
    </row>
    <row r="70" spans="9:84" ht="12.75" customHeight="1">
      <c r="N70" s="56" t="s">
        <v>118</v>
      </c>
      <c r="O70" s="54" t="s">
        <v>92</v>
      </c>
      <c r="P70" s="54" t="s">
        <v>92</v>
      </c>
      <c r="Q70" s="54" t="s">
        <v>92</v>
      </c>
      <c r="R70" s="54" t="s">
        <v>92</v>
      </c>
      <c r="S70" s="54" t="s">
        <v>92</v>
      </c>
      <c r="T70" s="54"/>
      <c r="U70" s="54"/>
      <c r="V70" s="54"/>
      <c r="W70" s="68"/>
      <c r="X70" s="24"/>
      <c r="Y70" s="56"/>
      <c r="Z70" s="19"/>
      <c r="AA70" s="19"/>
      <c r="AB70" s="19"/>
      <c r="AC70" s="19"/>
      <c r="AD70" s="19"/>
      <c r="AE70" s="19"/>
      <c r="AF70" s="71"/>
      <c r="AH70" s="56" t="s">
        <v>118</v>
      </c>
      <c r="AI70" s="54" t="s">
        <v>92</v>
      </c>
      <c r="AJ70" s="54" t="s">
        <v>92</v>
      </c>
      <c r="AK70" s="54" t="s">
        <v>92</v>
      </c>
      <c r="AL70" s="54" t="s">
        <v>92</v>
      </c>
      <c r="AM70" s="54" t="s">
        <v>92</v>
      </c>
      <c r="AN70" s="72"/>
      <c r="AO70" s="68"/>
      <c r="AQ70" s="56"/>
      <c r="AR70" s="73"/>
      <c r="AS70" s="73"/>
      <c r="AT70" s="73"/>
      <c r="AU70" s="73"/>
      <c r="AV70" s="73"/>
      <c r="AW70" s="73"/>
      <c r="AX70" s="71"/>
      <c r="BA70" s="56" t="s">
        <v>118</v>
      </c>
      <c r="BB70" s="54">
        <v>400</v>
      </c>
      <c r="BC70" s="54">
        <v>630</v>
      </c>
      <c r="BD70" s="54">
        <v>800</v>
      </c>
      <c r="BE70" s="54">
        <v>1000</v>
      </c>
      <c r="BF70" s="54">
        <v>1150</v>
      </c>
      <c r="BG70" s="54">
        <v>1250</v>
      </c>
      <c r="BH70" s="54">
        <v>1350</v>
      </c>
      <c r="BI70" s="54">
        <v>1600</v>
      </c>
      <c r="BJ70" s="72">
        <v>1800</v>
      </c>
      <c r="BK70" s="68">
        <v>2000</v>
      </c>
      <c r="BL70" s="24"/>
      <c r="BM70" s="56" t="s">
        <v>118</v>
      </c>
      <c r="BN70" s="54">
        <v>400</v>
      </c>
      <c r="BO70" s="54">
        <v>630</v>
      </c>
      <c r="BP70" s="54">
        <v>800</v>
      </c>
      <c r="BQ70" s="54">
        <v>1000</v>
      </c>
      <c r="BR70" s="54">
        <v>1150</v>
      </c>
      <c r="BS70" s="54">
        <v>1250</v>
      </c>
      <c r="BT70" s="54">
        <v>1350</v>
      </c>
      <c r="BU70" s="54">
        <v>1600</v>
      </c>
      <c r="BV70" s="68" t="s">
        <v>92</v>
      </c>
      <c r="BX70" s="56" t="s">
        <v>118</v>
      </c>
      <c r="BY70" s="54">
        <v>630</v>
      </c>
      <c r="BZ70" s="54">
        <v>800</v>
      </c>
      <c r="CA70" s="54">
        <v>1000</v>
      </c>
      <c r="CB70" s="72">
        <v>1150</v>
      </c>
      <c r="CC70" s="54">
        <v>1250</v>
      </c>
      <c r="CD70" s="54">
        <v>1350</v>
      </c>
      <c r="CE70" s="54">
        <v>1600</v>
      </c>
      <c r="CF70" s="68">
        <v>2000</v>
      </c>
    </row>
    <row r="71" spans="9:84" ht="12.75" customHeight="1">
      <c r="N71" s="56"/>
      <c r="O71" s="19">
        <v>400</v>
      </c>
      <c r="P71" s="19">
        <v>400</v>
      </c>
      <c r="Q71" s="19">
        <v>400</v>
      </c>
      <c r="R71" s="19">
        <v>400</v>
      </c>
      <c r="S71" s="19">
        <v>400</v>
      </c>
      <c r="T71" s="19"/>
      <c r="U71" s="19"/>
      <c r="V71" s="19"/>
      <c r="W71" s="71"/>
      <c r="X71" s="24"/>
      <c r="Y71" s="64"/>
      <c r="Z71" s="24"/>
      <c r="AA71" s="24"/>
      <c r="AB71" s="24"/>
      <c r="AC71" s="24"/>
      <c r="AD71" s="24"/>
      <c r="AE71" s="24"/>
      <c r="AF71" s="70"/>
      <c r="AH71" s="56"/>
      <c r="AI71" s="73">
        <v>400</v>
      </c>
      <c r="AJ71" s="73">
        <v>400</v>
      </c>
      <c r="AK71" s="73">
        <v>400</v>
      </c>
      <c r="AL71" s="73">
        <v>400</v>
      </c>
      <c r="AM71" s="73">
        <v>400</v>
      </c>
      <c r="AN71" s="73"/>
      <c r="AO71" s="71"/>
      <c r="AQ71" s="64"/>
      <c r="AR71" s="24"/>
      <c r="AS71" s="24"/>
      <c r="AT71" s="24"/>
      <c r="AU71" s="24"/>
      <c r="AV71" s="24"/>
      <c r="AW71" s="24"/>
      <c r="AX71" s="70"/>
      <c r="BA71" s="56"/>
      <c r="BB71" s="19">
        <v>400</v>
      </c>
      <c r="BC71" s="19">
        <v>400</v>
      </c>
      <c r="BD71" s="19">
        <v>400</v>
      </c>
      <c r="BE71" s="19">
        <v>400</v>
      </c>
      <c r="BF71" s="19">
        <v>400</v>
      </c>
      <c r="BG71" s="19">
        <v>400</v>
      </c>
      <c r="BH71" s="19">
        <v>400</v>
      </c>
      <c r="BI71" s="19">
        <v>400</v>
      </c>
      <c r="BJ71" s="73">
        <v>520</v>
      </c>
      <c r="BK71" s="71">
        <v>520</v>
      </c>
      <c r="BL71" s="24"/>
      <c r="BM71" s="56"/>
      <c r="BN71" s="19">
        <v>400</v>
      </c>
      <c r="BO71" s="19">
        <v>400</v>
      </c>
      <c r="BP71" s="19">
        <v>400</v>
      </c>
      <c r="BQ71" s="19">
        <v>400</v>
      </c>
      <c r="BR71" s="79">
        <v>400</v>
      </c>
      <c r="BS71" s="79">
        <v>400</v>
      </c>
      <c r="BT71" s="79">
        <v>400</v>
      </c>
      <c r="BU71" s="79">
        <v>400</v>
      </c>
      <c r="BV71" s="71" t="s">
        <v>92</v>
      </c>
      <c r="BX71" s="56"/>
      <c r="BY71" s="19">
        <v>400</v>
      </c>
      <c r="BZ71" s="19">
        <v>400</v>
      </c>
      <c r="CA71" s="19">
        <v>400</v>
      </c>
      <c r="CB71" s="19">
        <v>400</v>
      </c>
      <c r="CC71" s="19">
        <v>400</v>
      </c>
      <c r="CD71" s="19">
        <v>400</v>
      </c>
      <c r="CE71" s="19">
        <v>400</v>
      </c>
      <c r="CF71" s="101">
        <v>520</v>
      </c>
    </row>
    <row r="72" spans="9:84" ht="12.75" customHeight="1">
      <c r="N72" s="65"/>
      <c r="O72" s="24"/>
      <c r="P72" s="24"/>
      <c r="Q72" s="24"/>
      <c r="R72" s="24"/>
      <c r="S72" s="24"/>
      <c r="T72" s="24"/>
      <c r="U72" s="24"/>
      <c r="V72" s="24"/>
      <c r="W72" s="70"/>
      <c r="X72" s="24"/>
      <c r="Y72" s="52" t="s">
        <v>337</v>
      </c>
      <c r="AF72" s="69"/>
      <c r="AH72" s="64"/>
      <c r="AI72" s="24"/>
      <c r="AJ72" s="24"/>
      <c r="AK72" s="24"/>
      <c r="AL72" s="24"/>
      <c r="AM72" s="24"/>
      <c r="AN72" s="24"/>
      <c r="AO72" s="70"/>
      <c r="AQ72" s="52" t="s">
        <v>337</v>
      </c>
      <c r="AR72" s="18"/>
      <c r="AS72" s="18"/>
      <c r="AT72" s="18"/>
      <c r="AU72" s="18"/>
      <c r="AV72" s="18"/>
      <c r="AW72" s="18"/>
      <c r="AX72" s="67"/>
      <c r="BA72" s="93"/>
      <c r="BB72" s="24"/>
      <c r="BC72" s="24"/>
      <c r="BD72" s="24"/>
      <c r="BE72" s="24"/>
      <c r="BF72" s="81"/>
      <c r="BG72" s="81"/>
      <c r="BH72" s="81"/>
      <c r="BI72" s="24"/>
      <c r="BJ72" s="24"/>
      <c r="BK72" s="70"/>
      <c r="BL72" s="24"/>
      <c r="BM72" s="93"/>
      <c r="BN72" s="24"/>
      <c r="BO72" s="24"/>
      <c r="BP72" s="24"/>
      <c r="BQ72" s="24"/>
      <c r="BR72" s="81"/>
      <c r="BS72" s="81"/>
      <c r="BT72" s="81"/>
      <c r="BU72" s="81"/>
      <c r="BV72" s="70"/>
      <c r="BX72" s="93"/>
      <c r="BY72" s="24"/>
      <c r="BZ72" s="24"/>
      <c r="CA72" s="24"/>
      <c r="CB72" s="24"/>
      <c r="CC72" s="24"/>
      <c r="CD72" s="24"/>
      <c r="CE72" s="24"/>
      <c r="CF72" s="70"/>
    </row>
    <row r="73" spans="9:84" ht="12.75" customHeight="1">
      <c r="N73" s="65"/>
      <c r="O73" s="24"/>
      <c r="P73" s="24"/>
      <c r="Q73" s="24"/>
      <c r="R73" s="24"/>
      <c r="S73" s="24"/>
      <c r="T73" s="24"/>
      <c r="U73" s="24"/>
      <c r="V73" s="24"/>
      <c r="W73" s="70"/>
      <c r="X73" s="24"/>
      <c r="Y73" s="62" t="s">
        <v>321</v>
      </c>
      <c r="Z73" s="54">
        <v>3000</v>
      </c>
      <c r="AA73" s="54">
        <v>4000</v>
      </c>
      <c r="AB73" s="54">
        <v>5000</v>
      </c>
      <c r="AC73" s="54"/>
      <c r="AD73" s="54"/>
      <c r="AE73" s="54"/>
      <c r="AF73" s="68"/>
      <c r="AH73" s="64"/>
      <c r="AI73" s="24"/>
      <c r="AJ73" s="24"/>
      <c r="AK73" s="24"/>
      <c r="AL73" s="24"/>
      <c r="AM73" s="24"/>
      <c r="AN73" s="24"/>
      <c r="AO73" s="70"/>
      <c r="AQ73" s="62" t="s">
        <v>321</v>
      </c>
      <c r="AR73" s="54">
        <v>3000</v>
      </c>
      <c r="AS73" s="54">
        <v>4000</v>
      </c>
      <c r="AT73" s="54">
        <v>5000</v>
      </c>
      <c r="AU73" s="54"/>
      <c r="AV73" s="54"/>
      <c r="AW73" s="54"/>
      <c r="AX73" s="68"/>
      <c r="BA73" s="52" t="s">
        <v>338</v>
      </c>
      <c r="BB73" s="24"/>
      <c r="BC73" s="24"/>
      <c r="BD73" s="24"/>
      <c r="BE73" s="24"/>
      <c r="BF73" s="81"/>
      <c r="BG73" s="81"/>
      <c r="BH73" s="81"/>
      <c r="BI73" s="24"/>
      <c r="BJ73" s="24"/>
      <c r="BK73" s="70"/>
      <c r="BL73" s="24"/>
      <c r="BM73" s="52" t="s">
        <v>338</v>
      </c>
      <c r="BN73" s="24"/>
      <c r="BO73" s="24"/>
      <c r="BP73" s="24"/>
      <c r="BQ73" s="24"/>
      <c r="BR73" s="81"/>
      <c r="BS73" s="81"/>
      <c r="BT73" s="81"/>
      <c r="BU73" s="81"/>
      <c r="BV73" s="70"/>
      <c r="BX73" s="52" t="s">
        <v>338</v>
      </c>
      <c r="BY73" s="24"/>
      <c r="BZ73" s="24"/>
      <c r="CA73" s="24"/>
      <c r="CB73" s="24"/>
      <c r="CC73" s="24"/>
      <c r="CD73" s="24"/>
      <c r="CE73" s="24"/>
      <c r="CF73" s="70"/>
    </row>
    <row r="74" spans="9:84" ht="12.75" customHeight="1">
      <c r="N74" s="65"/>
      <c r="O74" s="24"/>
      <c r="P74" s="24"/>
      <c r="Q74" s="24"/>
      <c r="R74" s="24"/>
      <c r="S74" s="24"/>
      <c r="T74" s="24"/>
      <c r="U74" s="24"/>
      <c r="V74" s="24"/>
      <c r="W74" s="70"/>
      <c r="X74" s="24"/>
      <c r="Y74" s="56"/>
      <c r="Z74" s="19" t="s">
        <v>339</v>
      </c>
      <c r="AA74" s="19"/>
      <c r="AB74" s="19"/>
      <c r="AC74" s="19"/>
      <c r="AD74" s="19"/>
      <c r="AE74" s="19"/>
      <c r="AF74" s="71"/>
      <c r="AH74" s="64"/>
      <c r="AI74" s="24"/>
      <c r="AJ74" s="24"/>
      <c r="AK74" s="24"/>
      <c r="AL74" s="24"/>
      <c r="AM74" s="24"/>
      <c r="AN74" s="24"/>
      <c r="AO74" s="70"/>
      <c r="AQ74" s="56"/>
      <c r="AR74" s="19" t="s">
        <v>339</v>
      </c>
      <c r="AS74" s="19"/>
      <c r="AT74" s="19"/>
      <c r="AU74" s="19"/>
      <c r="AV74" s="19"/>
      <c r="AW74" s="13"/>
      <c r="AX74" s="71"/>
      <c r="BA74" s="94" t="s">
        <v>118</v>
      </c>
      <c r="BB74" s="54"/>
      <c r="BC74" s="54"/>
      <c r="BD74" s="54"/>
      <c r="BE74" s="24"/>
      <c r="BF74" s="81"/>
      <c r="BG74" s="81"/>
      <c r="BH74" s="81"/>
      <c r="BI74" s="24"/>
      <c r="BJ74" s="24"/>
      <c r="BK74" s="70"/>
      <c r="BL74" s="24"/>
      <c r="BM74" s="56" t="s">
        <v>118</v>
      </c>
      <c r="BN74" s="54" t="s">
        <v>331</v>
      </c>
      <c r="BO74" s="54" t="s">
        <v>332</v>
      </c>
      <c r="BP74" s="54" t="s">
        <v>334</v>
      </c>
      <c r="BQ74" s="54" t="s">
        <v>333</v>
      </c>
      <c r="BR74" s="81"/>
      <c r="BS74" s="81"/>
      <c r="BT74" s="81"/>
      <c r="BU74" s="81"/>
      <c r="BV74" s="70"/>
      <c r="BX74" s="94" t="s">
        <v>118</v>
      </c>
      <c r="BY74" s="54"/>
      <c r="BZ74" s="54"/>
      <c r="CA74" s="54"/>
      <c r="CB74" s="24"/>
      <c r="CC74" s="24"/>
      <c r="CD74" s="24"/>
      <c r="CE74" s="24"/>
      <c r="CF74" s="70"/>
    </row>
    <row r="75" spans="9:84" ht="12.75" customHeight="1">
      <c r="N75" s="65"/>
      <c r="O75" s="24"/>
      <c r="P75" s="24"/>
      <c r="Q75" s="24"/>
      <c r="R75" s="24"/>
      <c r="S75" s="24"/>
      <c r="T75" s="24"/>
      <c r="U75" s="24"/>
      <c r="V75" s="24"/>
      <c r="W75" s="70"/>
      <c r="X75" s="24"/>
      <c r="Y75" s="56"/>
      <c r="Z75" s="19"/>
      <c r="AA75" s="19"/>
      <c r="AB75" s="19"/>
      <c r="AC75" s="19"/>
      <c r="AD75" s="19"/>
      <c r="AE75" s="19"/>
      <c r="AF75" s="71"/>
      <c r="AH75" s="64"/>
      <c r="AI75" s="24"/>
      <c r="AJ75" s="24"/>
      <c r="AK75" s="24"/>
      <c r="AL75" s="24"/>
      <c r="AM75" s="24"/>
      <c r="AN75" s="24"/>
      <c r="AO75" s="70"/>
      <c r="AQ75" s="56"/>
      <c r="AR75" s="19"/>
      <c r="AS75" s="19"/>
      <c r="AT75" s="19"/>
      <c r="AU75" s="19"/>
      <c r="AV75" s="19"/>
      <c r="AW75" s="19"/>
      <c r="AX75" s="71"/>
      <c r="BA75" s="56"/>
      <c r="BB75" s="27"/>
      <c r="BC75" s="27"/>
      <c r="BD75" s="27"/>
      <c r="BE75" s="24"/>
      <c r="BF75" s="81"/>
      <c r="BG75" s="81"/>
      <c r="BH75" s="81"/>
      <c r="BI75" s="24"/>
      <c r="BJ75" s="24"/>
      <c r="BK75" s="70"/>
      <c r="BL75" s="24"/>
      <c r="BM75" s="56"/>
      <c r="BN75" s="38">
        <v>660</v>
      </c>
      <c r="BO75" s="38">
        <v>660</v>
      </c>
      <c r="BP75" s="38">
        <v>660</v>
      </c>
      <c r="BQ75" s="38">
        <v>660</v>
      </c>
      <c r="BR75" s="81"/>
      <c r="BS75" s="81"/>
      <c r="BT75" s="81"/>
      <c r="BU75" s="81"/>
      <c r="BV75" s="70"/>
      <c r="BX75" s="56"/>
      <c r="BY75" s="27"/>
      <c r="BZ75" s="27"/>
      <c r="CA75" s="27"/>
      <c r="CB75" s="24"/>
      <c r="CC75" s="24"/>
      <c r="CD75" s="24"/>
      <c r="CE75" s="24"/>
      <c r="CF75" s="70"/>
    </row>
    <row r="76" spans="9:84" ht="12.75" customHeight="1">
      <c r="N76" s="65"/>
      <c r="O76" s="24"/>
      <c r="P76" s="24"/>
      <c r="Q76" s="24"/>
      <c r="R76" s="24"/>
      <c r="S76" s="24"/>
      <c r="T76" s="24"/>
      <c r="U76" s="24"/>
      <c r="V76" s="24"/>
      <c r="W76" s="70"/>
      <c r="X76" s="18"/>
      <c r="Y76" s="58"/>
      <c r="AF76" s="69"/>
      <c r="AH76" s="64"/>
      <c r="AI76" s="18"/>
      <c r="AJ76" s="18"/>
      <c r="AK76" s="18"/>
      <c r="AL76" s="18"/>
      <c r="AM76" s="18"/>
      <c r="AN76" s="18"/>
      <c r="AO76" s="67"/>
      <c r="AQ76" s="64"/>
      <c r="AR76" s="18"/>
      <c r="AS76" s="18"/>
      <c r="AT76" s="18"/>
      <c r="AU76" s="18"/>
      <c r="AV76" s="18"/>
      <c r="AW76" s="18"/>
      <c r="AX76" s="67"/>
      <c r="BA76" s="58" t="s">
        <v>340</v>
      </c>
      <c r="BK76" s="69"/>
      <c r="BM76" s="58" t="s">
        <v>341</v>
      </c>
      <c r="BV76" s="69"/>
      <c r="BX76" s="58" t="s">
        <v>340</v>
      </c>
      <c r="CF76" s="69"/>
    </row>
    <row r="77" spans="9:84" ht="12.75" customHeight="1">
      <c r="N77" s="65"/>
      <c r="O77" s="24"/>
      <c r="P77" s="24"/>
      <c r="Q77" s="24"/>
      <c r="R77" s="24"/>
      <c r="S77" s="24"/>
      <c r="T77" s="24"/>
      <c r="U77" s="24"/>
      <c r="V77" s="24"/>
      <c r="W77" s="70"/>
      <c r="X77" s="18"/>
      <c r="Y77" s="52" t="s">
        <v>342</v>
      </c>
      <c r="AF77" s="69"/>
      <c r="AH77" s="64"/>
      <c r="AI77" s="18"/>
      <c r="AJ77" s="18"/>
      <c r="AK77" s="18"/>
      <c r="AL77" s="18"/>
      <c r="AM77" s="18"/>
      <c r="AN77" s="18"/>
      <c r="AO77" s="67"/>
      <c r="AQ77" s="52" t="s">
        <v>342</v>
      </c>
      <c r="AR77" s="18"/>
      <c r="AS77" s="18"/>
      <c r="AT77" s="18"/>
      <c r="AU77" s="18"/>
      <c r="AV77" s="18"/>
      <c r="AW77" s="18"/>
      <c r="AX77" s="67"/>
      <c r="BA77" s="58"/>
      <c r="BK77" s="69"/>
      <c r="BM77" s="58"/>
      <c r="BV77" s="69"/>
      <c r="BX77" s="58"/>
      <c r="CF77" s="69"/>
    </row>
    <row r="78" spans="9:84" ht="12.75" customHeight="1">
      <c r="N78" s="52" t="s">
        <v>337</v>
      </c>
      <c r="O78" s="24"/>
      <c r="P78" s="24"/>
      <c r="Q78" s="24"/>
      <c r="R78" s="24"/>
      <c r="S78" s="24"/>
      <c r="T78" s="24"/>
      <c r="U78" s="24"/>
      <c r="V78" s="24"/>
      <c r="W78" s="70"/>
      <c r="X78" s="18"/>
      <c r="Y78" s="62" t="s">
        <v>321</v>
      </c>
      <c r="Z78" s="54">
        <v>3000</v>
      </c>
      <c r="AA78" s="54">
        <v>4000</v>
      </c>
      <c r="AB78" s="54">
        <v>5000</v>
      </c>
      <c r="AC78" s="54"/>
      <c r="AD78" s="54"/>
      <c r="AE78" s="54"/>
      <c r="AF78" s="68"/>
      <c r="AH78" s="52" t="s">
        <v>337</v>
      </c>
      <c r="AI78" s="18"/>
      <c r="AJ78" s="18"/>
      <c r="AK78" s="18"/>
      <c r="AL78" s="18"/>
      <c r="AM78" s="18"/>
      <c r="AN78" s="18"/>
      <c r="AO78" s="67"/>
      <c r="AQ78" s="62" t="s">
        <v>321</v>
      </c>
      <c r="AR78" s="54">
        <v>3000</v>
      </c>
      <c r="AS78" s="54">
        <v>4000</v>
      </c>
      <c r="AT78" s="54">
        <v>5000</v>
      </c>
      <c r="AU78" s="54"/>
      <c r="AV78" s="54"/>
      <c r="AW78" s="54"/>
      <c r="AX78" s="68"/>
      <c r="BA78" s="52" t="s">
        <v>337</v>
      </c>
      <c r="BK78" s="69"/>
      <c r="BM78" s="52" t="s">
        <v>337</v>
      </c>
      <c r="BV78" s="69"/>
      <c r="BX78" s="52" t="s">
        <v>337</v>
      </c>
      <c r="CF78" s="69"/>
    </row>
    <row r="79" spans="9:84" ht="12.75" customHeight="1">
      <c r="N79" s="62" t="s">
        <v>321</v>
      </c>
      <c r="O79" s="54">
        <v>1600</v>
      </c>
      <c r="P79" s="54">
        <v>2000</v>
      </c>
      <c r="Q79" s="54">
        <v>3000</v>
      </c>
      <c r="R79" s="54">
        <v>4000</v>
      </c>
      <c r="S79" s="54">
        <v>5000</v>
      </c>
      <c r="T79" s="54"/>
      <c r="U79" s="54"/>
      <c r="V79" s="54"/>
      <c r="W79" s="68"/>
      <c r="X79" s="18"/>
      <c r="Y79" s="56" t="s">
        <v>34</v>
      </c>
      <c r="Z79" s="19" t="s">
        <v>343</v>
      </c>
      <c r="AA79" s="19"/>
      <c r="AB79" s="19"/>
      <c r="AC79" s="19"/>
      <c r="AD79" s="19"/>
      <c r="AE79" s="19"/>
      <c r="AF79" s="71"/>
      <c r="AH79" s="62" t="s">
        <v>321</v>
      </c>
      <c r="AI79" s="54">
        <v>1600</v>
      </c>
      <c r="AJ79" s="54">
        <v>2000</v>
      </c>
      <c r="AK79" s="54">
        <v>3000</v>
      </c>
      <c r="AL79" s="54">
        <v>4000</v>
      </c>
      <c r="AM79" s="54">
        <v>5000</v>
      </c>
      <c r="AN79" s="54"/>
      <c r="AO79" s="68"/>
      <c r="AQ79" s="56" t="s">
        <v>34</v>
      </c>
      <c r="AR79" s="19" t="s">
        <v>343</v>
      </c>
      <c r="AS79" s="19"/>
      <c r="AT79" s="19"/>
      <c r="AU79" s="19"/>
      <c r="AV79" s="19"/>
      <c r="AW79" s="19"/>
      <c r="AX79" s="71"/>
      <c r="BA79" s="62" t="s">
        <v>321</v>
      </c>
      <c r="BB79" s="54">
        <v>400</v>
      </c>
      <c r="BC79" s="54">
        <v>630</v>
      </c>
      <c r="BD79" s="54">
        <v>800</v>
      </c>
      <c r="BE79" s="54">
        <v>1000</v>
      </c>
      <c r="BF79" s="54">
        <v>1150</v>
      </c>
      <c r="BG79" s="54">
        <v>1250</v>
      </c>
      <c r="BH79" s="54">
        <v>1350</v>
      </c>
      <c r="BI79" s="54">
        <v>1600</v>
      </c>
      <c r="BJ79" s="72"/>
      <c r="BK79" s="68" t="s">
        <v>92</v>
      </c>
      <c r="BL79" s="24"/>
      <c r="BM79" s="62" t="s">
        <v>321</v>
      </c>
      <c r="BN79" s="54">
        <v>400</v>
      </c>
      <c r="BO79" s="54">
        <v>630</v>
      </c>
      <c r="BP79" s="54">
        <v>800</v>
      </c>
      <c r="BQ79" s="54">
        <v>1000</v>
      </c>
      <c r="BR79" s="54">
        <v>1150</v>
      </c>
      <c r="BS79" s="54">
        <v>1250</v>
      </c>
      <c r="BT79" s="54">
        <v>1350</v>
      </c>
      <c r="BU79" s="54">
        <v>1600</v>
      </c>
      <c r="BV79" s="68" t="s">
        <v>92</v>
      </c>
      <c r="BX79" s="62" t="s">
        <v>321</v>
      </c>
      <c r="BY79" s="54">
        <v>630</v>
      </c>
      <c r="BZ79" s="54">
        <v>800</v>
      </c>
      <c r="CA79" s="54">
        <v>1000</v>
      </c>
      <c r="CB79" s="72">
        <v>1150</v>
      </c>
      <c r="CC79" s="54">
        <v>1250</v>
      </c>
      <c r="CD79" s="54">
        <v>1350</v>
      </c>
      <c r="CE79" s="54">
        <v>1600</v>
      </c>
      <c r="CF79" s="68">
        <v>2000</v>
      </c>
    </row>
    <row r="80" spans="9:84" ht="12.75" customHeight="1">
      <c r="N80" s="56" t="s">
        <v>34</v>
      </c>
      <c r="O80" s="19" t="s">
        <v>92</v>
      </c>
      <c r="P80" s="19" t="s">
        <v>92</v>
      </c>
      <c r="Q80" s="19" t="s">
        <v>92</v>
      </c>
      <c r="R80" s="19" t="s">
        <v>92</v>
      </c>
      <c r="S80" s="19" t="s">
        <v>92</v>
      </c>
      <c r="T80" s="19"/>
      <c r="U80" s="19"/>
      <c r="V80" s="19"/>
      <c r="W80" s="71"/>
      <c r="X80" s="18"/>
      <c r="Y80" s="56" t="s">
        <v>19</v>
      </c>
      <c r="Z80" s="19"/>
      <c r="AA80" s="19"/>
      <c r="AB80" s="19"/>
      <c r="AC80" s="19"/>
      <c r="AD80" s="19"/>
      <c r="AE80" s="19"/>
      <c r="AF80" s="71"/>
      <c r="AH80" s="56" t="s">
        <v>34</v>
      </c>
      <c r="AI80" s="19" t="s">
        <v>92</v>
      </c>
      <c r="AJ80" s="19" t="s">
        <v>92</v>
      </c>
      <c r="AK80" s="19" t="s">
        <v>92</v>
      </c>
      <c r="AL80" s="19" t="s">
        <v>92</v>
      </c>
      <c r="AM80" s="19" t="s">
        <v>92</v>
      </c>
      <c r="AN80" s="13"/>
      <c r="AO80" s="71"/>
      <c r="AQ80" s="56" t="s">
        <v>19</v>
      </c>
      <c r="AR80" s="19"/>
      <c r="AS80" s="19"/>
      <c r="AT80" s="19"/>
      <c r="AU80" s="19"/>
      <c r="AV80" s="19"/>
      <c r="AW80" s="19"/>
      <c r="AX80" s="71"/>
      <c r="BA80" s="56" t="s">
        <v>34</v>
      </c>
      <c r="BB80" s="19" t="s">
        <v>93</v>
      </c>
      <c r="BC80" s="20" t="str">
        <f>IF('轿厢&gt;井道'!$B$25="GOST 33984.1","-","C2")</f>
        <v>C2</v>
      </c>
      <c r="BD80" s="20" t="str">
        <f>IF('轿厢&gt;井道'!$B$25="GOST 33984.1","S2","C2")</f>
        <v>C2</v>
      </c>
      <c r="BE80" s="20" t="str">
        <f>IF('轿厢&gt;井道'!$B$25="GOST 33984.1","S2","C2")</f>
        <v>C2</v>
      </c>
      <c r="BF80" s="19" t="s">
        <v>93</v>
      </c>
      <c r="BG80" s="19" t="s">
        <v>93</v>
      </c>
      <c r="BH80" s="19" t="s">
        <v>93</v>
      </c>
      <c r="BI80" s="19" t="s">
        <v>93</v>
      </c>
      <c r="BJ80" s="73"/>
      <c r="BK80" s="71" t="s">
        <v>92</v>
      </c>
      <c r="BL80" s="24"/>
      <c r="BM80" s="56" t="s">
        <v>34</v>
      </c>
      <c r="BN80" s="19" t="s">
        <v>92</v>
      </c>
      <c r="BO80" s="19" t="s">
        <v>92</v>
      </c>
      <c r="BP80" s="19" t="s">
        <v>92</v>
      </c>
      <c r="BQ80" s="19" t="s">
        <v>92</v>
      </c>
      <c r="BR80" s="79" t="s">
        <v>92</v>
      </c>
      <c r="BS80" s="79" t="s">
        <v>92</v>
      </c>
      <c r="BT80" s="79" t="s">
        <v>92</v>
      </c>
      <c r="BU80" s="79" t="s">
        <v>92</v>
      </c>
      <c r="BV80" s="71" t="s">
        <v>92</v>
      </c>
      <c r="BX80" s="56" t="s">
        <v>34</v>
      </c>
      <c r="BY80" s="19" t="s">
        <v>93</v>
      </c>
      <c r="BZ80" s="19" t="s">
        <v>93</v>
      </c>
      <c r="CA80" s="19" t="s">
        <v>93</v>
      </c>
      <c r="CB80" s="19" t="s">
        <v>93</v>
      </c>
      <c r="CC80" s="19" t="s">
        <v>93</v>
      </c>
      <c r="CD80" s="19" t="s">
        <v>93</v>
      </c>
      <c r="CE80" s="19" t="s">
        <v>93</v>
      </c>
      <c r="CF80" s="71" t="s">
        <v>92</v>
      </c>
    </row>
    <row r="81" spans="14:84" ht="12.75" customHeight="1">
      <c r="N81" s="56" t="s">
        <v>19</v>
      </c>
      <c r="O81" s="19" t="s">
        <v>31</v>
      </c>
      <c r="P81" s="19" t="s">
        <v>31</v>
      </c>
      <c r="Q81" s="19" t="s">
        <v>31</v>
      </c>
      <c r="R81" s="19" t="s">
        <v>36</v>
      </c>
      <c r="S81" s="19" t="s">
        <v>36</v>
      </c>
      <c r="T81" s="19"/>
      <c r="U81" s="19"/>
      <c r="V81" s="19"/>
      <c r="W81" s="71"/>
      <c r="X81" s="18"/>
      <c r="Y81" s="58"/>
      <c r="AF81" s="69"/>
      <c r="AH81" s="56" t="s">
        <v>19</v>
      </c>
      <c r="AI81" s="19" t="s">
        <v>31</v>
      </c>
      <c r="AJ81" s="19" t="s">
        <v>31</v>
      </c>
      <c r="AK81" s="19" t="s">
        <v>31</v>
      </c>
      <c r="AL81" s="19" t="s">
        <v>36</v>
      </c>
      <c r="AM81" s="19" t="s">
        <v>36</v>
      </c>
      <c r="AN81" s="19"/>
      <c r="AO81" s="71"/>
      <c r="AQ81" s="64"/>
      <c r="AR81" s="18"/>
      <c r="AS81" s="18"/>
      <c r="AT81" s="18"/>
      <c r="AU81" s="18"/>
      <c r="AV81" s="18"/>
      <c r="AW81" s="18"/>
      <c r="AX81" s="67"/>
      <c r="BA81" s="56" t="s">
        <v>19</v>
      </c>
      <c r="BB81" s="19" t="s">
        <v>92</v>
      </c>
      <c r="BC81" s="19" t="s">
        <v>93</v>
      </c>
      <c r="BD81" s="20" t="str">
        <f>IF('轿厢&gt;井道'!$B$25="GOST 33984.1","S2","C2")</f>
        <v>C2</v>
      </c>
      <c r="BE81" s="20" t="str">
        <f>IF('轿厢&gt;井道'!$B$25="GOST 33984.1","S2","C2")</f>
        <v>C2</v>
      </c>
      <c r="BF81" s="19" t="s">
        <v>31</v>
      </c>
      <c r="BG81" s="19" t="s">
        <v>31</v>
      </c>
      <c r="BH81" s="19" t="s">
        <v>31</v>
      </c>
      <c r="BI81" s="20" t="str">
        <f>IF('轿厢&gt;井道'!$B$25="GOST 33984.1","S2","C2")</f>
        <v>C2</v>
      </c>
      <c r="BJ81" s="82"/>
      <c r="BK81" s="71" t="s">
        <v>92</v>
      </c>
      <c r="BL81" s="24"/>
      <c r="BM81" s="56" t="s">
        <v>19</v>
      </c>
      <c r="BN81" s="19" t="s">
        <v>93</v>
      </c>
      <c r="BO81" s="19" t="s">
        <v>93</v>
      </c>
      <c r="BP81" s="20" t="str">
        <f>IF('轿厢&gt;井道'!$B$25="GOST 33984.1","S2","C2")</f>
        <v>C2</v>
      </c>
      <c r="BQ81" s="20" t="str">
        <f>IF('轿厢&gt;井道'!$B$25="GOST 33984.1","S2","C2")</f>
        <v>C2</v>
      </c>
      <c r="BR81" s="79" t="s">
        <v>93</v>
      </c>
      <c r="BS81" s="79" t="s">
        <v>93</v>
      </c>
      <c r="BT81" s="79" t="s">
        <v>93</v>
      </c>
      <c r="BU81" s="79" t="s">
        <v>93</v>
      </c>
      <c r="BV81" s="71" t="s">
        <v>92</v>
      </c>
      <c r="BX81" s="56" t="s">
        <v>19</v>
      </c>
      <c r="BY81" s="19" t="s">
        <v>93</v>
      </c>
      <c r="BZ81" s="19" t="s">
        <v>93</v>
      </c>
      <c r="CA81" s="19" t="s">
        <v>93</v>
      </c>
      <c r="CB81" s="19" t="s">
        <v>93</v>
      </c>
      <c r="CC81" s="19" t="s">
        <v>93</v>
      </c>
      <c r="CD81" s="19" t="s">
        <v>93</v>
      </c>
      <c r="CE81" s="19" t="s">
        <v>93</v>
      </c>
      <c r="CF81" s="71" t="s">
        <v>93</v>
      </c>
    </row>
    <row r="82" spans="14:84" ht="12.75" customHeight="1">
      <c r="N82" s="65"/>
      <c r="O82" s="24"/>
      <c r="P82" s="24"/>
      <c r="Q82" s="24"/>
      <c r="R82" s="24"/>
      <c r="S82" s="24"/>
      <c r="T82" s="24"/>
      <c r="U82" s="24"/>
      <c r="V82" s="24"/>
      <c r="W82" s="70"/>
      <c r="X82" s="18"/>
      <c r="Y82" s="52" t="s">
        <v>344</v>
      </c>
      <c r="Z82" s="18"/>
      <c r="AA82" s="18"/>
      <c r="AB82" s="18"/>
      <c r="AC82" s="18"/>
      <c r="AD82" s="18"/>
      <c r="AE82" s="18"/>
      <c r="AF82" s="67"/>
      <c r="AH82" s="64"/>
      <c r="AI82" s="18"/>
      <c r="AJ82" s="18"/>
      <c r="AK82" s="18"/>
      <c r="AL82" s="18"/>
      <c r="AM82" s="18"/>
      <c r="AN82" s="18"/>
      <c r="AO82" s="67"/>
      <c r="AQ82" s="52" t="s">
        <v>344</v>
      </c>
      <c r="AR82" s="18"/>
      <c r="AS82" s="18"/>
      <c r="AT82" s="18"/>
      <c r="AU82" s="18"/>
      <c r="AV82" s="18"/>
      <c r="AW82" s="18"/>
      <c r="AX82" s="67"/>
      <c r="BA82" s="58"/>
      <c r="BK82" s="69"/>
      <c r="BM82" s="58"/>
      <c r="BV82" s="69"/>
      <c r="BX82" s="58"/>
      <c r="CF82" s="69"/>
    </row>
    <row r="83" spans="14:84" ht="12.75" customHeight="1">
      <c r="N83" s="52" t="s">
        <v>342</v>
      </c>
      <c r="O83" s="24"/>
      <c r="P83" s="24"/>
      <c r="Q83" s="24"/>
      <c r="R83" s="24"/>
      <c r="S83" s="24"/>
      <c r="T83" s="24"/>
      <c r="U83" s="24"/>
      <c r="V83" s="24"/>
      <c r="W83" s="70"/>
      <c r="X83" s="18"/>
      <c r="Y83" s="53" t="s">
        <v>314</v>
      </c>
      <c r="Z83" s="54">
        <v>3000</v>
      </c>
      <c r="AA83" s="54">
        <v>4000</v>
      </c>
      <c r="AB83" s="54">
        <v>5000</v>
      </c>
      <c r="AC83" s="54"/>
      <c r="AD83" s="54"/>
      <c r="AE83" s="54"/>
      <c r="AF83" s="68"/>
      <c r="AH83" s="52" t="s">
        <v>342</v>
      </c>
      <c r="AI83" s="18"/>
      <c r="AJ83" s="18"/>
      <c r="AK83" s="18"/>
      <c r="AL83" s="18"/>
      <c r="AM83" s="18"/>
      <c r="AN83" s="18"/>
      <c r="AO83" s="67"/>
      <c r="AQ83" s="53" t="s">
        <v>314</v>
      </c>
      <c r="AR83" s="54">
        <v>3000</v>
      </c>
      <c r="AS83" s="54">
        <v>4000</v>
      </c>
      <c r="AT83" s="54">
        <v>5000</v>
      </c>
      <c r="AU83" s="54"/>
      <c r="AV83" s="54"/>
      <c r="AW83" s="72"/>
      <c r="AX83" s="68"/>
      <c r="BA83" s="52" t="s">
        <v>342</v>
      </c>
      <c r="BK83" s="69"/>
      <c r="BM83" s="52" t="s">
        <v>342</v>
      </c>
      <c r="BV83" s="69"/>
      <c r="BX83" s="52" t="s">
        <v>342</v>
      </c>
      <c r="CF83" s="69"/>
    </row>
    <row r="84" spans="14:84" ht="12.75" customHeight="1">
      <c r="N84" s="62" t="s">
        <v>321</v>
      </c>
      <c r="O84" s="54">
        <v>1600</v>
      </c>
      <c r="P84" s="54">
        <v>2000</v>
      </c>
      <c r="Q84" s="54">
        <v>3000</v>
      </c>
      <c r="R84" s="54">
        <v>4000</v>
      </c>
      <c r="S84" s="54">
        <v>5000</v>
      </c>
      <c r="T84" s="54"/>
      <c r="U84" s="54"/>
      <c r="V84" s="54"/>
      <c r="W84" s="68"/>
      <c r="X84" s="18"/>
      <c r="Y84" s="56">
        <v>0.5</v>
      </c>
      <c r="Z84" s="19">
        <v>4700</v>
      </c>
      <c r="AA84" s="19">
        <v>4700</v>
      </c>
      <c r="AB84" s="19">
        <v>4700</v>
      </c>
      <c r="AC84" s="19"/>
      <c r="AD84" s="19"/>
      <c r="AE84" s="19"/>
      <c r="AF84" s="71"/>
      <c r="AH84" s="62" t="s">
        <v>321</v>
      </c>
      <c r="AI84" s="54">
        <v>1600</v>
      </c>
      <c r="AJ84" s="54">
        <v>2000</v>
      </c>
      <c r="AK84" s="54">
        <v>3000</v>
      </c>
      <c r="AL84" s="54">
        <v>4000</v>
      </c>
      <c r="AM84" s="54">
        <v>5000</v>
      </c>
      <c r="AN84" s="54"/>
      <c r="AO84" s="68"/>
      <c r="AQ84" s="56">
        <v>0.5</v>
      </c>
      <c r="AR84" s="19">
        <v>5100</v>
      </c>
      <c r="AS84" s="19">
        <v>5300</v>
      </c>
      <c r="AT84" s="19">
        <v>5300</v>
      </c>
      <c r="AU84" s="19"/>
      <c r="AV84" s="73"/>
      <c r="AW84" s="73"/>
      <c r="AX84" s="71"/>
      <c r="BA84" s="62" t="s">
        <v>321</v>
      </c>
      <c r="BB84" s="54">
        <v>400</v>
      </c>
      <c r="BC84" s="54">
        <v>630</v>
      </c>
      <c r="BD84" s="54">
        <v>800</v>
      </c>
      <c r="BE84" s="54">
        <v>1000</v>
      </c>
      <c r="BF84" s="54">
        <v>1150</v>
      </c>
      <c r="BG84" s="54">
        <v>1250</v>
      </c>
      <c r="BH84" s="54">
        <v>1350</v>
      </c>
      <c r="BI84" s="54">
        <v>1600</v>
      </c>
      <c r="BJ84" s="72"/>
      <c r="BK84" s="68" t="s">
        <v>92</v>
      </c>
      <c r="BL84" s="24"/>
      <c r="BM84" s="62" t="s">
        <v>321</v>
      </c>
      <c r="BN84" s="54">
        <v>400</v>
      </c>
      <c r="BO84" s="54">
        <v>630</v>
      </c>
      <c r="BP84" s="54">
        <v>800</v>
      </c>
      <c r="BQ84" s="54">
        <v>1000</v>
      </c>
      <c r="BR84" s="54">
        <v>1150</v>
      </c>
      <c r="BS84" s="54">
        <v>1250</v>
      </c>
      <c r="BT84" s="54">
        <v>1350</v>
      </c>
      <c r="BU84" s="54">
        <v>1600</v>
      </c>
      <c r="BV84" s="68" t="s">
        <v>92</v>
      </c>
      <c r="BX84" s="62" t="s">
        <v>321</v>
      </c>
      <c r="BY84" s="54">
        <v>630</v>
      </c>
      <c r="BZ84" s="54">
        <v>800</v>
      </c>
      <c r="CA84" s="54">
        <v>1000</v>
      </c>
      <c r="CB84" s="72">
        <v>1150</v>
      </c>
      <c r="CC84" s="54">
        <v>1250</v>
      </c>
      <c r="CD84" s="54">
        <v>1350</v>
      </c>
      <c r="CE84" s="54">
        <v>1600</v>
      </c>
      <c r="CF84" s="68">
        <v>2000</v>
      </c>
    </row>
    <row r="85" spans="14:84" ht="12.75" customHeight="1">
      <c r="N85" s="56" t="s">
        <v>34</v>
      </c>
      <c r="O85" s="19" t="s">
        <v>92</v>
      </c>
      <c r="P85" s="19" t="s">
        <v>92</v>
      </c>
      <c r="Q85" s="19" t="s">
        <v>92</v>
      </c>
      <c r="R85" s="19" t="s">
        <v>92</v>
      </c>
      <c r="S85" s="19" t="s">
        <v>92</v>
      </c>
      <c r="T85" s="19"/>
      <c r="U85" s="19"/>
      <c r="V85" s="19"/>
      <c r="W85" s="71"/>
      <c r="X85" s="18"/>
      <c r="Y85" s="56">
        <v>1</v>
      </c>
      <c r="Z85" s="19">
        <v>4700</v>
      </c>
      <c r="AA85" s="19">
        <v>4700</v>
      </c>
      <c r="AB85" s="19">
        <v>4700</v>
      </c>
      <c r="AC85" s="31"/>
      <c r="AD85" s="19"/>
      <c r="AE85" s="19"/>
      <c r="AF85" s="71"/>
      <c r="AH85" s="56" t="s">
        <v>34</v>
      </c>
      <c r="AI85" s="19" t="s">
        <v>92</v>
      </c>
      <c r="AJ85" s="19" t="s">
        <v>92</v>
      </c>
      <c r="AK85" s="19" t="s">
        <v>92</v>
      </c>
      <c r="AL85" s="19" t="s">
        <v>92</v>
      </c>
      <c r="AM85" s="19" t="s">
        <v>92</v>
      </c>
      <c r="AN85" s="19"/>
      <c r="AO85" s="71"/>
      <c r="AQ85" s="56">
        <v>1</v>
      </c>
      <c r="AR85" s="19">
        <v>5100</v>
      </c>
      <c r="AS85" s="19">
        <v>5300</v>
      </c>
      <c r="AT85" s="19">
        <v>5300</v>
      </c>
      <c r="AU85" s="19"/>
      <c r="AV85" s="73"/>
      <c r="AW85" s="73"/>
      <c r="AX85" s="71"/>
      <c r="BA85" s="56" t="s">
        <v>34</v>
      </c>
      <c r="BB85" s="19">
        <v>0</v>
      </c>
      <c r="BC85" s="20">
        <f>IF('轿厢&gt;井道'!$B$25="GOST 33984.1","-",0)</f>
        <v>0</v>
      </c>
      <c r="BD85" s="20">
        <f>IF('轿厢&gt;井道'!$B$25="GOST 33984.1","Offset",0)</f>
        <v>0</v>
      </c>
      <c r="BE85" s="20">
        <f>IF('轿厢&gt;井道'!$B$25="GOST 33984.1","Offset",0)</f>
        <v>0</v>
      </c>
      <c r="BF85" s="19">
        <v>0</v>
      </c>
      <c r="BG85" s="19">
        <v>0</v>
      </c>
      <c r="BH85" s="19">
        <v>0</v>
      </c>
      <c r="BI85" s="19">
        <v>0</v>
      </c>
      <c r="BJ85" s="73"/>
      <c r="BK85" s="71" t="s">
        <v>92</v>
      </c>
      <c r="BL85" s="24"/>
      <c r="BM85" s="56" t="s">
        <v>34</v>
      </c>
      <c r="BN85" s="19" t="s">
        <v>92</v>
      </c>
      <c r="BO85" s="19" t="s">
        <v>92</v>
      </c>
      <c r="BP85" s="19" t="s">
        <v>92</v>
      </c>
      <c r="BQ85" s="19" t="s">
        <v>92</v>
      </c>
      <c r="BR85" s="79" t="s">
        <v>92</v>
      </c>
      <c r="BS85" s="79" t="s">
        <v>92</v>
      </c>
      <c r="BT85" s="79" t="s">
        <v>92</v>
      </c>
      <c r="BU85" s="79" t="s">
        <v>92</v>
      </c>
      <c r="BV85" s="71" t="s">
        <v>92</v>
      </c>
      <c r="BX85" s="56" t="s">
        <v>34</v>
      </c>
      <c r="BY85" s="19">
        <v>0</v>
      </c>
      <c r="BZ85" s="19">
        <v>0</v>
      </c>
      <c r="CA85" s="19">
        <v>0</v>
      </c>
      <c r="CB85" s="19">
        <v>0</v>
      </c>
      <c r="CC85" s="19">
        <v>0</v>
      </c>
      <c r="CD85" s="19">
        <v>0</v>
      </c>
      <c r="CE85" s="19">
        <v>0</v>
      </c>
      <c r="CF85" s="71" t="s">
        <v>92</v>
      </c>
    </row>
    <row r="86" spans="14:84" ht="12.75" customHeight="1">
      <c r="N86" s="56" t="s">
        <v>19</v>
      </c>
      <c r="O86" s="19" t="s">
        <v>44</v>
      </c>
      <c r="P86" s="19" t="s">
        <v>44</v>
      </c>
      <c r="Q86" s="19" t="s">
        <v>44</v>
      </c>
      <c r="R86" s="19" t="s">
        <v>44</v>
      </c>
      <c r="S86" s="19" t="s">
        <v>44</v>
      </c>
      <c r="T86" s="19"/>
      <c r="U86" s="19"/>
      <c r="V86" s="19"/>
      <c r="W86" s="71"/>
      <c r="X86" s="18"/>
      <c r="Y86" s="56"/>
      <c r="Z86" s="19"/>
      <c r="AA86" s="19"/>
      <c r="AB86" s="19"/>
      <c r="AC86" s="31"/>
      <c r="AD86" s="19"/>
      <c r="AE86" s="19"/>
      <c r="AF86" s="71"/>
      <c r="AH86" s="56" t="s">
        <v>19</v>
      </c>
      <c r="AI86" s="19" t="s">
        <v>44</v>
      </c>
      <c r="AJ86" s="19" t="s">
        <v>44</v>
      </c>
      <c r="AK86" s="19" t="s">
        <v>44</v>
      </c>
      <c r="AL86" s="19" t="s">
        <v>44</v>
      </c>
      <c r="AM86" s="19" t="s">
        <v>44</v>
      </c>
      <c r="AN86" s="19"/>
      <c r="AO86" s="71"/>
      <c r="AQ86" s="56"/>
      <c r="AR86" s="19"/>
      <c r="AS86" s="19"/>
      <c r="AT86" s="19"/>
      <c r="AU86" s="19"/>
      <c r="AV86" s="73"/>
      <c r="AW86" s="73"/>
      <c r="AX86" s="71"/>
      <c r="BA86" s="56" t="s">
        <v>19</v>
      </c>
      <c r="BB86" s="19" t="s">
        <v>92</v>
      </c>
      <c r="BC86" s="19" t="s">
        <v>44</v>
      </c>
      <c r="BD86" s="19" t="s">
        <v>44</v>
      </c>
      <c r="BE86" s="19" t="s">
        <v>44</v>
      </c>
      <c r="BF86" s="19" t="s">
        <v>44</v>
      </c>
      <c r="BG86" s="19" t="s">
        <v>44</v>
      </c>
      <c r="BH86" s="19" t="s">
        <v>44</v>
      </c>
      <c r="BI86" s="19" t="s">
        <v>44</v>
      </c>
      <c r="BJ86" s="73"/>
      <c r="BK86" s="71" t="s">
        <v>92</v>
      </c>
      <c r="BL86" s="24"/>
      <c r="BM86" s="56" t="s">
        <v>19</v>
      </c>
      <c r="BN86" s="19" t="s">
        <v>44</v>
      </c>
      <c r="BO86" s="19" t="s">
        <v>44</v>
      </c>
      <c r="BP86" s="19" t="s">
        <v>44</v>
      </c>
      <c r="BQ86" s="20">
        <f>IF('轿厢&gt;井道'!$B$25="GOST 33984.1","Offset",0)</f>
        <v>0</v>
      </c>
      <c r="BR86" s="79">
        <v>0</v>
      </c>
      <c r="BS86" s="79">
        <v>0</v>
      </c>
      <c r="BT86" s="79">
        <v>0</v>
      </c>
      <c r="BU86" s="79">
        <v>0</v>
      </c>
      <c r="BV86" s="71" t="s">
        <v>92</v>
      </c>
      <c r="BX86" s="56" t="s">
        <v>19</v>
      </c>
      <c r="BY86" s="19" t="s">
        <v>44</v>
      </c>
      <c r="BZ86" s="19" t="s">
        <v>44</v>
      </c>
      <c r="CA86" s="19" t="s">
        <v>44</v>
      </c>
      <c r="CB86" s="19" t="s">
        <v>44</v>
      </c>
      <c r="CC86" s="19" t="s">
        <v>44</v>
      </c>
      <c r="CD86" s="19" t="s">
        <v>44</v>
      </c>
      <c r="CE86" s="19" t="s">
        <v>44</v>
      </c>
      <c r="CF86" s="19" t="s">
        <v>44</v>
      </c>
    </row>
    <row r="87" spans="14:84" ht="12.75" customHeight="1">
      <c r="N87" s="65"/>
      <c r="O87" s="24"/>
      <c r="P87" s="24"/>
      <c r="Q87" s="24"/>
      <c r="R87" s="24"/>
      <c r="S87" s="24"/>
      <c r="T87" s="24"/>
      <c r="U87" s="24"/>
      <c r="V87" s="24"/>
      <c r="W87" s="70"/>
      <c r="X87" s="18"/>
      <c r="Y87" s="56"/>
      <c r="Z87" s="19"/>
      <c r="AA87" s="19"/>
      <c r="AB87" s="19"/>
      <c r="AC87" s="19"/>
      <c r="AD87" s="19"/>
      <c r="AE87" s="19"/>
      <c r="AF87" s="71"/>
      <c r="AH87" s="64"/>
      <c r="AI87" s="18"/>
      <c r="AJ87" s="18"/>
      <c r="AK87" s="18"/>
      <c r="AL87" s="18"/>
      <c r="AM87" s="18"/>
      <c r="AN87" s="18"/>
      <c r="AO87" s="67"/>
      <c r="AQ87" s="56"/>
      <c r="AR87" s="19"/>
      <c r="AS87" s="19"/>
      <c r="AT87" s="19"/>
      <c r="AU87" s="19"/>
      <c r="AV87" s="73"/>
      <c r="AW87" s="73"/>
      <c r="AX87" s="71"/>
      <c r="BA87" s="58"/>
      <c r="BK87" s="69"/>
      <c r="BM87" s="58"/>
      <c r="BV87" s="69"/>
      <c r="BX87" s="58"/>
      <c r="CF87" s="69"/>
    </row>
    <row r="88" spans="14:84" ht="12.75" customHeight="1">
      <c r="N88" s="52" t="s">
        <v>344</v>
      </c>
      <c r="O88" s="18"/>
      <c r="P88" s="18"/>
      <c r="Q88" s="18"/>
      <c r="R88" s="18"/>
      <c r="S88" s="18"/>
      <c r="T88" s="18"/>
      <c r="U88" s="18"/>
      <c r="V88" s="18"/>
      <c r="W88" s="67"/>
      <c r="X88" s="18"/>
      <c r="Y88" s="64"/>
      <c r="AF88" s="69"/>
      <c r="AH88" s="52" t="s">
        <v>344</v>
      </c>
      <c r="AI88" s="18"/>
      <c r="AJ88" s="18"/>
      <c r="AK88" s="18"/>
      <c r="AL88" s="18"/>
      <c r="AM88" s="18"/>
      <c r="AN88" s="18"/>
      <c r="AO88" s="67"/>
      <c r="AQ88" s="64"/>
      <c r="AR88" s="18"/>
      <c r="AS88" s="18"/>
      <c r="AT88" s="18"/>
      <c r="AU88" s="18"/>
      <c r="AV88" s="18"/>
      <c r="AW88" s="18"/>
      <c r="AX88" s="67"/>
      <c r="BA88" s="52" t="s">
        <v>344</v>
      </c>
      <c r="BD88" s="95" t="s">
        <v>345</v>
      </c>
      <c r="BE88" s="95" t="str">
        <f>'轿厢&gt;井道'!$B$15</f>
        <v>SIDE</v>
      </c>
      <c r="BK88" s="69"/>
      <c r="BM88" s="52" t="s">
        <v>344</v>
      </c>
      <c r="BP88" s="95"/>
      <c r="BQ88" s="95"/>
      <c r="BV88" s="69"/>
      <c r="BX88" s="52" t="s">
        <v>344</v>
      </c>
      <c r="CF88" s="69"/>
    </row>
    <row r="89" spans="14:84" ht="12.75" customHeight="1">
      <c r="N89" s="53" t="s">
        <v>314</v>
      </c>
      <c r="O89" s="54">
        <v>1600</v>
      </c>
      <c r="P89" s="54">
        <v>2000</v>
      </c>
      <c r="Q89" s="54">
        <v>3000</v>
      </c>
      <c r="R89" s="54">
        <v>4000</v>
      </c>
      <c r="S89" s="54">
        <v>5000</v>
      </c>
      <c r="T89" s="54"/>
      <c r="U89" s="54"/>
      <c r="V89" s="54"/>
      <c r="W89" s="68"/>
      <c r="X89" s="18"/>
      <c r="Y89" s="52" t="s">
        <v>346</v>
      </c>
      <c r="Z89" s="18"/>
      <c r="AA89" s="18"/>
      <c r="AB89" s="18"/>
      <c r="AC89" s="18"/>
      <c r="AD89" s="18"/>
      <c r="AE89" s="18"/>
      <c r="AF89" s="67"/>
      <c r="AH89" s="53" t="s">
        <v>314</v>
      </c>
      <c r="AI89" s="54">
        <v>1600</v>
      </c>
      <c r="AJ89" s="54">
        <v>2000</v>
      </c>
      <c r="AK89" s="54">
        <v>3000</v>
      </c>
      <c r="AL89" s="54">
        <v>4000</v>
      </c>
      <c r="AM89" s="54">
        <v>5000</v>
      </c>
      <c r="AN89" s="72"/>
      <c r="AO89" s="68"/>
      <c r="AQ89" s="52" t="s">
        <v>346</v>
      </c>
      <c r="AR89" s="18"/>
      <c r="AS89" s="18"/>
      <c r="AT89" s="18"/>
      <c r="AU89" s="18"/>
      <c r="AV89" s="18"/>
      <c r="AW89" s="18"/>
      <c r="AX89" s="67"/>
      <c r="BA89" s="53" t="s">
        <v>314</v>
      </c>
      <c r="BB89" s="54">
        <v>400</v>
      </c>
      <c r="BC89" s="54">
        <v>630</v>
      </c>
      <c r="BD89" s="54">
        <v>800</v>
      </c>
      <c r="BE89" s="54">
        <v>1000</v>
      </c>
      <c r="BF89" s="54">
        <v>1150</v>
      </c>
      <c r="BG89" s="54">
        <v>1250</v>
      </c>
      <c r="BH89" s="54">
        <v>1350</v>
      </c>
      <c r="BI89" s="54">
        <v>1600</v>
      </c>
      <c r="BJ89" s="72"/>
      <c r="BK89" s="68" t="s">
        <v>92</v>
      </c>
      <c r="BL89" s="24"/>
      <c r="BM89" s="53" t="s">
        <v>314</v>
      </c>
      <c r="BN89" s="54">
        <v>400</v>
      </c>
      <c r="BO89" s="54">
        <v>630</v>
      </c>
      <c r="BP89" s="54">
        <v>800</v>
      </c>
      <c r="BQ89" s="54">
        <v>1000</v>
      </c>
      <c r="BR89" s="54">
        <v>1150</v>
      </c>
      <c r="BS89" s="54">
        <v>1250</v>
      </c>
      <c r="BT89" s="54">
        <v>1350</v>
      </c>
      <c r="BU89" s="54">
        <v>1600</v>
      </c>
      <c r="BV89" s="68" t="s">
        <v>92</v>
      </c>
      <c r="BX89" s="53" t="s">
        <v>314</v>
      </c>
      <c r="BY89" s="54">
        <v>630</v>
      </c>
      <c r="BZ89" s="54">
        <v>800</v>
      </c>
      <c r="CA89" s="54">
        <v>1000</v>
      </c>
      <c r="CB89" s="72">
        <v>1150</v>
      </c>
      <c r="CC89" s="54">
        <v>1250</v>
      </c>
      <c r="CD89" s="54">
        <v>1350</v>
      </c>
      <c r="CE89" s="54">
        <v>1600</v>
      </c>
      <c r="CF89" s="68">
        <v>2000</v>
      </c>
    </row>
    <row r="90" spans="14:84" ht="12.75" customHeight="1">
      <c r="N90" s="56">
        <v>0.5</v>
      </c>
      <c r="O90" s="19">
        <v>3950</v>
      </c>
      <c r="P90" s="19">
        <v>3950</v>
      </c>
      <c r="Q90" s="19">
        <v>3950</v>
      </c>
      <c r="R90" s="19">
        <v>3950</v>
      </c>
      <c r="S90" s="19">
        <v>3950</v>
      </c>
      <c r="T90" s="19"/>
      <c r="U90" s="19"/>
      <c r="V90" s="19"/>
      <c r="W90" s="71"/>
      <c r="Y90" s="53" t="s">
        <v>314</v>
      </c>
      <c r="Z90" s="54">
        <v>3000</v>
      </c>
      <c r="AA90" s="54">
        <v>4000</v>
      </c>
      <c r="AB90" s="54">
        <v>5000</v>
      </c>
      <c r="AC90" s="54"/>
      <c r="AD90" s="54"/>
      <c r="AE90" s="54"/>
      <c r="AF90" s="68"/>
      <c r="AH90" s="56">
        <v>0.5</v>
      </c>
      <c r="AI90" s="19">
        <v>4300</v>
      </c>
      <c r="AJ90" s="19">
        <v>4300</v>
      </c>
      <c r="AK90" s="19">
        <v>4650</v>
      </c>
      <c r="AL90" s="19">
        <v>5000</v>
      </c>
      <c r="AM90" s="73">
        <v>5000</v>
      </c>
      <c r="AN90" s="73"/>
      <c r="AO90" s="71"/>
      <c r="AQ90" s="53" t="s">
        <v>314</v>
      </c>
      <c r="AR90" s="54">
        <v>3000</v>
      </c>
      <c r="AS90" s="54">
        <v>4000</v>
      </c>
      <c r="AT90" s="54">
        <v>5000</v>
      </c>
      <c r="AU90" s="54"/>
      <c r="AV90" s="54"/>
      <c r="AW90" s="54"/>
      <c r="AX90" s="68"/>
      <c r="BA90" s="56">
        <v>1</v>
      </c>
      <c r="BB90" s="31">
        <f>IF('轿厢&gt;井道'!$B$25="GOST 33984.1",$F$44+1400,$F$44+1500)</f>
        <v>3800</v>
      </c>
      <c r="BC90" s="31">
        <f>IF('轿厢&gt;井道'!$B$25="GOST 33984.1",$F$44+1400,$F$44+1500)</f>
        <v>3800</v>
      </c>
      <c r="BD90" s="31">
        <f>IF('轿厢&gt;井道'!$B$25="GOST 33984.1",$F$44+1400,$F$44+1500)</f>
        <v>3800</v>
      </c>
      <c r="BE90" s="31">
        <f>IF('轿厢&gt;井道'!$B$25="GOST 33984.1",$F$44+1400,$F$44+1500)</f>
        <v>3800</v>
      </c>
      <c r="BF90" s="79">
        <f>4100+IF(AND('轿厢&gt;井道'!$B$17&gt;=1565,'轿厢&gt;井道'!$B$15="REAR"),120,0)</f>
        <v>4100</v>
      </c>
      <c r="BG90" s="79">
        <f>4100+IF(AND('轿厢&gt;井道'!$B$17&gt;=1565,'轿厢&gt;井道'!$B$15="REAR"),120,0)</f>
        <v>4100</v>
      </c>
      <c r="BH90" s="79">
        <f>4100+IF(AND('轿厢&gt;井道'!$B$17&gt;=1565,'轿厢&gt;井道'!$B$15="REAR"),120,0)</f>
        <v>4100</v>
      </c>
      <c r="BI90" s="31">
        <f>IF('轿厢&gt;井道'!$B$25="GOST 33984.1",$F$44+1600,$F$44+1750)</f>
        <v>4050</v>
      </c>
      <c r="BJ90" s="84"/>
      <c r="BK90" s="71" t="s">
        <v>92</v>
      </c>
      <c r="BL90" s="24"/>
      <c r="BM90" s="56">
        <v>1</v>
      </c>
      <c r="BN90" s="31">
        <f>IF('轿厢&gt;井道'!$B$25="GOST 33984.1",$G$44+1350,$G$44+1500)</f>
        <v>3800</v>
      </c>
      <c r="BO90" s="31">
        <f>IF('轿厢&gt;井道'!$B$25="GOST 33984.1",$G$44+1350,$G$44+1500)</f>
        <v>3800</v>
      </c>
      <c r="BP90" s="31">
        <f>IF('轿厢&gt;井道'!$B$25="GOST 33984.1",$G$44+1350,$G$44+1500)</f>
        <v>3800</v>
      </c>
      <c r="BQ90" s="31">
        <f>IF('轿厢&gt;井道'!$B$25="GOST 33984.1",$G$44+1350,$G$44+1500)</f>
        <v>3800</v>
      </c>
      <c r="BR90" s="79">
        <f>4100+IF(AND('轿厢&gt;井道'!$B$17&gt;=1565,'轿厢&gt;井道'!$B$15="REAR"),120,0)</f>
        <v>4100</v>
      </c>
      <c r="BS90" s="79">
        <f>4100+IF(AND('轿厢&gt;井道'!$B$17&gt;=1565,'轿厢&gt;井道'!$B$15="REAR"),120,0)</f>
        <v>4100</v>
      </c>
      <c r="BT90" s="79">
        <f>4100+IF(AND('轿厢&gt;井道'!$B$17&gt;=1565,'轿厢&gt;井道'!$B$15="REAR"),120,0)</f>
        <v>4100</v>
      </c>
      <c r="BU90" s="83">
        <f>IF('轿厢&gt;井道'!$B$25="GOST 33984.1","-",$F$44+1750)</f>
        <v>4050</v>
      </c>
      <c r="BV90" s="71" t="s">
        <v>92</v>
      </c>
      <c r="BX90" s="56">
        <v>1</v>
      </c>
      <c r="BY90" s="31">
        <f>4100+IF(AND('轿厢&gt;井道'!$B$17&gt;=1565,'轿厢&gt;井道'!$B$15="REAR"),120,0)</f>
        <v>4100</v>
      </c>
      <c r="BZ90" s="31">
        <f>4100+IF(AND('轿厢&gt;井道'!$B$17&gt;=1565,'轿厢&gt;井道'!$B$15="REAR"),120,0)</f>
        <v>4100</v>
      </c>
      <c r="CA90" s="31">
        <f>4100+IF(AND('轿厢&gt;井道'!$B$17&gt;=1565,'轿厢&gt;井道'!$B$15="REAR"),120,0)</f>
        <v>4100</v>
      </c>
      <c r="CB90" s="31">
        <f>4100+IF(AND('轿厢&gt;井道'!$B$17&gt;=1565,'轿厢&gt;井道'!$B$15="REAR"),120,0)</f>
        <v>4100</v>
      </c>
      <c r="CC90" s="31">
        <f>4100+IF(AND('轿厢&gt;井道'!$B$17&gt;=1565,'轿厢&gt;井道'!$B$15="REAR"),120,0)</f>
        <v>4100</v>
      </c>
      <c r="CD90" s="31">
        <f>4100+IF(AND('轿厢&gt;井道'!$B$17&gt;=1565,'轿厢&gt;井道'!$B$15="REAR"),120,0)</f>
        <v>4100</v>
      </c>
      <c r="CE90" s="31">
        <f>4100+IF(AND('轿厢&gt;井道'!$B$17&gt;=1565,'轿厢&gt;井道'!$B$15="REAR"),120,0)</f>
        <v>4100</v>
      </c>
      <c r="CF90" s="88">
        <f>4100+IF(AND('轿厢&gt;井道'!$B$17&gt;=1565,'轿厢&gt;井道'!$B$15="REAR"),120,0)</f>
        <v>4100</v>
      </c>
    </row>
    <row r="91" spans="14:84" ht="12.75" customHeight="1">
      <c r="N91" s="56">
        <v>1</v>
      </c>
      <c r="O91" s="19">
        <v>3950</v>
      </c>
      <c r="P91" s="19">
        <v>3950</v>
      </c>
      <c r="Q91" s="19">
        <v>3950</v>
      </c>
      <c r="R91" s="19">
        <v>3950</v>
      </c>
      <c r="S91" s="19">
        <v>3950</v>
      </c>
      <c r="T91" s="19"/>
      <c r="U91" s="19"/>
      <c r="V91" s="19"/>
      <c r="W91" s="71"/>
      <c r="X91" s="18"/>
      <c r="Y91" s="56">
        <v>0.5</v>
      </c>
      <c r="Z91" s="19">
        <v>1500</v>
      </c>
      <c r="AA91" s="19">
        <v>1800</v>
      </c>
      <c r="AB91" s="19">
        <v>1800</v>
      </c>
      <c r="AC91" s="19"/>
      <c r="AD91" s="19"/>
      <c r="AE91" s="19"/>
      <c r="AF91" s="71"/>
      <c r="AH91" s="56">
        <v>1</v>
      </c>
      <c r="AI91" s="19">
        <v>4300</v>
      </c>
      <c r="AJ91" s="19">
        <v>4300</v>
      </c>
      <c r="AK91" s="19">
        <v>4650</v>
      </c>
      <c r="AL91" s="19">
        <v>5000</v>
      </c>
      <c r="AM91" s="73">
        <v>5000</v>
      </c>
      <c r="AN91" s="73"/>
      <c r="AO91" s="71"/>
      <c r="AQ91" s="56">
        <v>0.5</v>
      </c>
      <c r="AR91" s="19">
        <v>1500</v>
      </c>
      <c r="AS91" s="19">
        <v>1800</v>
      </c>
      <c r="AT91" s="19">
        <v>1800</v>
      </c>
      <c r="AU91" s="19"/>
      <c r="AV91" s="19"/>
      <c r="AW91" s="19"/>
      <c r="AX91" s="71"/>
      <c r="BA91" s="56">
        <v>1.5</v>
      </c>
      <c r="BB91" s="31">
        <f>IF('轿厢&gt;井道'!$B$25="GOST 33984.1",$F$44+1600,$F$44+1700)</f>
        <v>4000</v>
      </c>
      <c r="BC91" s="31">
        <f>IF('轿厢&gt;井道'!$B$25="GOST 33984.1",$F$44+1600,$F$44+1700)</f>
        <v>4000</v>
      </c>
      <c r="BD91" s="31">
        <f>IF('轿厢&gt;井道'!$B$25="GOST 33984.1",$F$44+1600,$F$44+1700)</f>
        <v>4000</v>
      </c>
      <c r="BE91" s="31">
        <f>IF('轿厢&gt;井道'!$B$25="GOST 33984.1",$F$44+1600,$F$44+1700)</f>
        <v>4000</v>
      </c>
      <c r="BF91" s="79">
        <f>4200+IF(AND('轿厢&gt;井道'!$B$17&gt;=1565,'轿厢&gt;井道'!$B$15="REAR"),120,0)</f>
        <v>4200</v>
      </c>
      <c r="BG91" s="79">
        <f>4200+IF(AND('轿厢&gt;井道'!$B$17&gt;=1565,'轿厢&gt;井道'!$B$15="REAR"),120,0)</f>
        <v>4200</v>
      </c>
      <c r="BH91" s="79">
        <f>4200+IF(AND('轿厢&gt;井道'!$B$17&gt;=1565,'轿厢&gt;井道'!$B$15="REAR"),120,0)</f>
        <v>4200</v>
      </c>
      <c r="BI91" s="31">
        <f>IF('轿厢&gt;井道'!$B$25="GOST 33984.1",$F$44+1750,$F$44+1950)</f>
        <v>4250</v>
      </c>
      <c r="BJ91" s="84"/>
      <c r="BK91" s="71" t="s">
        <v>92</v>
      </c>
      <c r="BL91" s="24"/>
      <c r="BM91" s="56">
        <v>1.5</v>
      </c>
      <c r="BN91" s="31">
        <f>IF('轿厢&gt;井道'!$B$25="GOST 33984.1",$G$44+1550,$G$44+1700)</f>
        <v>4000</v>
      </c>
      <c r="BO91" s="31">
        <f>IF('轿厢&gt;井道'!$B$25="GOST 33984.1",$G$44+1550,$G$44+1700)</f>
        <v>4000</v>
      </c>
      <c r="BP91" s="31">
        <f>IF('轿厢&gt;井道'!$B$25="GOST 33984.1",$G$44+1550,$G$44+1700)</f>
        <v>4000</v>
      </c>
      <c r="BQ91" s="31">
        <f>IF('轿厢&gt;井道'!$B$25="GOST 33984.1",$G$44+1550,$G$44+1700)</f>
        <v>4000</v>
      </c>
      <c r="BR91" s="79">
        <f>4200+IF(AND('轿厢&gt;井道'!$B$17&gt;=1565,'轿厢&gt;井道'!$B$15="REAR"),120,0)</f>
        <v>4200</v>
      </c>
      <c r="BS91" s="79">
        <f>4200+IF(AND('轿厢&gt;井道'!$B$17&gt;=1565,'轿厢&gt;井道'!$B$15="REAR"),120,0)</f>
        <v>4200</v>
      </c>
      <c r="BT91" s="79">
        <f>4200+IF(AND('轿厢&gt;井道'!$B$17&gt;=1565,'轿厢&gt;井道'!$B$15="REAR"),120,0)</f>
        <v>4200</v>
      </c>
      <c r="BU91" s="83">
        <f>IF('轿厢&gt;井道'!$B$25="GOST 33984.1","-",$F$44+1950)</f>
        <v>4250</v>
      </c>
      <c r="BV91" s="71" t="s">
        <v>92</v>
      </c>
      <c r="BX91" s="56">
        <v>1.5</v>
      </c>
      <c r="BY91" s="31">
        <f>4200+IF(AND('轿厢&gt;井道'!$B$17&gt;=1565,'轿厢&gt;井道'!$B$15="REAR"),120,0)</f>
        <v>4200</v>
      </c>
      <c r="BZ91" s="31">
        <f>4200+IF(AND('轿厢&gt;井道'!$B$17&gt;=1565,'轿厢&gt;井道'!$B$15="REAR"),120,0)</f>
        <v>4200</v>
      </c>
      <c r="CA91" s="31">
        <f>4200+IF(AND('轿厢&gt;井道'!$B$17&gt;=1565,'轿厢&gt;井道'!$B$15="REAR"),120,0)</f>
        <v>4200</v>
      </c>
      <c r="CB91" s="31">
        <f>4200+IF(AND('轿厢&gt;井道'!$B$17&gt;=1565,'轿厢&gt;井道'!$B$15="REAR"),120,0)</f>
        <v>4200</v>
      </c>
      <c r="CC91" s="31">
        <f>4200+IF(AND('轿厢&gt;井道'!$B$17&gt;=1565,'轿厢&gt;井道'!$B$15="REAR"),120,0)</f>
        <v>4200</v>
      </c>
      <c r="CD91" s="31">
        <f>4200+IF(AND('轿厢&gt;井道'!$B$17&gt;=1565,'轿厢&gt;井道'!$B$15="REAR"),120,0)</f>
        <v>4200</v>
      </c>
      <c r="CE91" s="31">
        <f>4200+IF(AND('轿厢&gt;井道'!$B$17&gt;=1565,'轿厢&gt;井道'!$B$15="REAR"),120,0)</f>
        <v>4200</v>
      </c>
      <c r="CF91" s="88">
        <f>4200+IF(AND('轿厢&gt;井道'!$B$17&gt;=1565,'轿厢&gt;井道'!$B$15="REAR"),120,0)</f>
        <v>4200</v>
      </c>
    </row>
    <row r="92" spans="14:84" ht="12.75" customHeight="1">
      <c r="N92" s="56"/>
      <c r="O92" s="19"/>
      <c r="P92" s="19"/>
      <c r="Q92" s="19"/>
      <c r="R92" s="19"/>
      <c r="S92" s="19"/>
      <c r="T92" s="19"/>
      <c r="U92" s="19"/>
      <c r="V92" s="19"/>
      <c r="W92" s="71"/>
      <c r="X92" s="24"/>
      <c r="Y92" s="56">
        <v>1</v>
      </c>
      <c r="Z92" s="19">
        <v>1500</v>
      </c>
      <c r="AA92" s="19">
        <v>1800</v>
      </c>
      <c r="AB92" s="19">
        <v>1800</v>
      </c>
      <c r="AC92" s="19"/>
      <c r="AD92" s="19"/>
      <c r="AE92" s="19"/>
      <c r="AF92" s="71"/>
      <c r="AH92" s="56"/>
      <c r="AI92" s="19"/>
      <c r="AJ92" s="19"/>
      <c r="AK92" s="19"/>
      <c r="AL92" s="19"/>
      <c r="AM92" s="73"/>
      <c r="AN92" s="73"/>
      <c r="AO92" s="71"/>
      <c r="AQ92" s="56">
        <v>1</v>
      </c>
      <c r="AR92" s="19">
        <v>1500</v>
      </c>
      <c r="AS92" s="19">
        <v>1800</v>
      </c>
      <c r="AT92" s="19">
        <v>1800</v>
      </c>
      <c r="AU92" s="19"/>
      <c r="AV92" s="19"/>
      <c r="AW92" s="19"/>
      <c r="AX92" s="71"/>
      <c r="BA92" s="56">
        <v>1.6</v>
      </c>
      <c r="BB92" s="31">
        <f>IF('轿厢&gt;井道'!$B$25="GOST 33984.1",$F$44+1600,$F$44+1700)</f>
        <v>4000</v>
      </c>
      <c r="BC92" s="31">
        <f>IF('轿厢&gt;井道'!$B$25="GOST 33984.1",$F$44+1600,$F$44+1700)</f>
        <v>4000</v>
      </c>
      <c r="BD92" s="31">
        <f>IF('轿厢&gt;井道'!$B$25="GOST 33984.1",$F$44+1600,$F$44+1700)</f>
        <v>4000</v>
      </c>
      <c r="BE92" s="31">
        <f>IF('轿厢&gt;井道'!$B$25="GOST 33984.1",$F$44+1600,$F$44+1700)</f>
        <v>4000</v>
      </c>
      <c r="BF92" s="79"/>
      <c r="BG92" s="79"/>
      <c r="BH92" s="79"/>
      <c r="BI92" s="31">
        <f>IF('轿厢&gt;井道'!$B$25="GOST 33984.1",$F$44+1750,$F$44+1950)</f>
        <v>4250</v>
      </c>
      <c r="BJ92" s="84"/>
      <c r="BK92" s="71"/>
      <c r="BL92" s="24"/>
      <c r="BM92" s="56">
        <v>1.6</v>
      </c>
      <c r="BN92" s="31">
        <f>IF('轿厢&gt;井道'!$B$25="GOST 33984.1",$G$44+1550,$G$44+1700)</f>
        <v>4000</v>
      </c>
      <c r="BO92" s="31">
        <f>IF('轿厢&gt;井道'!$B$25="GOST 33984.1",$G$44+1550,$G$44+1700)</f>
        <v>4000</v>
      </c>
      <c r="BP92" s="31">
        <f>IF('轿厢&gt;井道'!$B$25="GOST 33984.1",$G$44+1550,$G$44+1700)</f>
        <v>4000</v>
      </c>
      <c r="BQ92" s="31">
        <f>IF('轿厢&gt;井道'!$B$25="GOST 33984.1",$G$44+1550,$G$44+1700)</f>
        <v>4000</v>
      </c>
      <c r="BR92" s="79"/>
      <c r="BS92" s="79"/>
      <c r="BT92" s="79"/>
      <c r="BU92" s="83">
        <f>IF('轿厢&gt;井道'!$B$25="GOST 33984.1","-",$F$44+1950)</f>
        <v>4250</v>
      </c>
      <c r="BV92" s="71"/>
      <c r="BX92" s="56">
        <v>1.75</v>
      </c>
      <c r="BY92" s="31">
        <f>4300+IF(AND('轿厢&gt;井道'!$B$17&gt;=1565,'轿厢&gt;井道'!$B$15="REAR"),120,0)</f>
        <v>4300</v>
      </c>
      <c r="BZ92" s="31">
        <f>4300+IF(AND('轿厢&gt;井道'!$B$17&gt;=1565,'轿厢&gt;井道'!$B$15="REAR"),120,0)</f>
        <v>4300</v>
      </c>
      <c r="CA92" s="31">
        <f>4300+IF(AND('轿厢&gt;井道'!$B$17&gt;=1565,'轿厢&gt;井道'!$B$15="REAR"),120,0)</f>
        <v>4300</v>
      </c>
      <c r="CB92" s="31">
        <f>4300+IF(AND('轿厢&gt;井道'!$B$17&gt;=1565,'轿厢&gt;井道'!$B$15="REAR"),120,0)</f>
        <v>4300</v>
      </c>
      <c r="CC92" s="31">
        <f>4300+IF(AND('轿厢&gt;井道'!$B$17&gt;=1565,'轿厢&gt;井道'!$B$15="REAR"),120,0)</f>
        <v>4300</v>
      </c>
      <c r="CD92" s="31">
        <f>4300+IF(AND('轿厢&gt;井道'!$B$17&gt;=1565,'轿厢&gt;井道'!$B$15="REAR"),120,0)</f>
        <v>4300</v>
      </c>
      <c r="CE92" s="31">
        <f>4300+IF(AND('轿厢&gt;井道'!$B$17&gt;=1565,'轿厢&gt;井道'!$B$15="REAR"),120,0)</f>
        <v>4300</v>
      </c>
      <c r="CF92" s="88">
        <f>4300+IF(AND('轿厢&gt;井道'!$B$17&gt;=1565,'轿厢&gt;井道'!$B$15="REAR"),120,0)</f>
        <v>4300</v>
      </c>
    </row>
    <row r="93" spans="14:84" ht="12.75" customHeight="1">
      <c r="N93" s="56"/>
      <c r="O93" s="19"/>
      <c r="P93" s="19"/>
      <c r="Q93" s="19"/>
      <c r="R93" s="19"/>
      <c r="S93" s="19"/>
      <c r="T93" s="19"/>
      <c r="U93" s="19"/>
      <c r="V93" s="19"/>
      <c r="W93" s="71"/>
      <c r="X93" s="24"/>
      <c r="Y93" s="56"/>
      <c r="Z93" s="19"/>
      <c r="AA93" s="19"/>
      <c r="AB93" s="19"/>
      <c r="AC93" s="19"/>
      <c r="AD93" s="19"/>
      <c r="AE93" s="19"/>
      <c r="AF93" s="71"/>
      <c r="AH93" s="56"/>
      <c r="AI93" s="19"/>
      <c r="AJ93" s="19"/>
      <c r="AK93" s="19"/>
      <c r="AL93" s="19"/>
      <c r="AM93" s="73"/>
      <c r="AN93" s="73"/>
      <c r="AO93" s="71"/>
      <c r="AQ93" s="56"/>
      <c r="AR93" s="19"/>
      <c r="AS93" s="19"/>
      <c r="AT93" s="19"/>
      <c r="AU93" s="19"/>
      <c r="AV93" s="19"/>
      <c r="AW93" s="19"/>
      <c r="AX93" s="71"/>
      <c r="BA93" s="56">
        <v>1.75</v>
      </c>
      <c r="BB93" s="31">
        <f>IF('轿厢&gt;井道'!$B$25="GOST 33984.1",$F$44+1650,$F$44+1800)</f>
        <v>4100</v>
      </c>
      <c r="BC93" s="31">
        <f>IF('轿厢&gt;井道'!$B$25="GOST 33984.1",$F$44+1650,$F$44+1800)</f>
        <v>4100</v>
      </c>
      <c r="BD93" s="31">
        <f>IF('轿厢&gt;井道'!$B$25="GOST 33984.1",$F$44+1650,$F$44+1800)</f>
        <v>4100</v>
      </c>
      <c r="BE93" s="31">
        <f>IF('轿厢&gt;井道'!$B$25="GOST 33984.1",$F$44+1650,$F$44+1800)</f>
        <v>4100</v>
      </c>
      <c r="BF93" s="79">
        <f>4300+IF(AND('轿厢&gt;井道'!$B$17&gt;=1565,'轿厢&gt;井道'!$B$15="REAR"),120,0)</f>
        <v>4300</v>
      </c>
      <c r="BG93" s="79">
        <f>4300+IF(AND('轿厢&gt;井道'!$B$17&gt;=1565,'轿厢&gt;井道'!$B$15="REAR"),120,0)</f>
        <v>4300</v>
      </c>
      <c r="BH93" s="79">
        <f>4300+IF(AND('轿厢&gt;井道'!$B$17&gt;=1565,'轿厢&gt;井道'!$B$15="REAR"),120,0)</f>
        <v>4300</v>
      </c>
      <c r="BI93" s="31">
        <f>IF('轿厢&gt;井道'!$B$25="GOST 33984.1",$F$44+1850,$F$44+2000)</f>
        <v>4300</v>
      </c>
      <c r="BJ93" s="84"/>
      <c r="BK93" s="71" t="s">
        <v>92</v>
      </c>
      <c r="BL93" s="24"/>
      <c r="BM93" s="56">
        <v>1.75</v>
      </c>
      <c r="BN93" s="31">
        <f>IF('轿厢&gt;井道'!$B$25="GOST 33984.1",$G$44+1650,$G$44+1800)</f>
        <v>4100</v>
      </c>
      <c r="BO93" s="31">
        <f>IF('轿厢&gt;井道'!$B$25="GOST 33984.1",$G$44+1650,$G$44+1800)</f>
        <v>4100</v>
      </c>
      <c r="BP93" s="31">
        <f>IF('轿厢&gt;井道'!$B$25="GOST 33984.1",$G$44+1650,$G$44+1800)</f>
        <v>4100</v>
      </c>
      <c r="BQ93" s="31">
        <f>IF('轿厢&gt;井道'!$B$25="GOST 33984.1",$G$44+1650,$G$44+1800)</f>
        <v>4100</v>
      </c>
      <c r="BR93" s="79">
        <f>4300+IF(AND('轿厢&gt;井道'!$B$17&gt;=1565,'轿厢&gt;井道'!$B$15="REAR"),120,0)</f>
        <v>4300</v>
      </c>
      <c r="BS93" s="79">
        <f>4300+IF(AND('轿厢&gt;井道'!$B$17&gt;=1565,'轿厢&gt;井道'!$B$15="REAR"),120,0)</f>
        <v>4300</v>
      </c>
      <c r="BT93" s="79">
        <f>4300+IF(AND('轿厢&gt;井道'!$B$17&gt;=1565,'轿厢&gt;井道'!$B$15="REAR"),120,0)</f>
        <v>4300</v>
      </c>
      <c r="BU93" s="83">
        <f>IF('轿厢&gt;井道'!$B$25="GOST 33984.1","-",$F$44+2000)</f>
        <v>4300</v>
      </c>
      <c r="BV93" s="71" t="s">
        <v>92</v>
      </c>
      <c r="BX93" s="56">
        <v>2</v>
      </c>
      <c r="BY93" s="19" t="s">
        <v>92</v>
      </c>
      <c r="BZ93" s="19">
        <v>4500</v>
      </c>
      <c r="CA93" s="19">
        <v>4500</v>
      </c>
      <c r="CB93" s="19">
        <v>4500</v>
      </c>
      <c r="CC93" s="19">
        <v>4500</v>
      </c>
      <c r="CD93" s="19">
        <v>4500</v>
      </c>
      <c r="CE93" s="19">
        <v>4500</v>
      </c>
      <c r="CF93" s="71" t="s">
        <v>92</v>
      </c>
    </row>
    <row r="94" spans="14:84" ht="12.75" customHeight="1">
      <c r="N94" s="56"/>
      <c r="O94" s="19"/>
      <c r="P94" s="19"/>
      <c r="Q94" s="19"/>
      <c r="R94" s="19"/>
      <c r="S94" s="19"/>
      <c r="T94" s="19"/>
      <c r="U94" s="19"/>
      <c r="V94" s="19"/>
      <c r="W94" s="71"/>
      <c r="X94" s="24"/>
      <c r="Y94" s="89"/>
      <c r="Z94" s="90"/>
      <c r="AA94" s="90"/>
      <c r="AB94" s="90"/>
      <c r="AC94" s="90"/>
      <c r="AD94" s="90"/>
      <c r="AE94" s="90"/>
      <c r="AF94" s="91"/>
      <c r="AH94" s="56"/>
      <c r="AI94" s="13"/>
      <c r="AJ94" s="13"/>
      <c r="AK94" s="13"/>
      <c r="AL94" s="13"/>
      <c r="AM94" s="13"/>
      <c r="AN94" s="13"/>
      <c r="AO94" s="92"/>
      <c r="AQ94" s="89"/>
      <c r="AR94" s="90"/>
      <c r="AS94" s="90"/>
      <c r="AT94" s="90"/>
      <c r="AU94" s="90"/>
      <c r="AV94" s="90"/>
      <c r="AW94" s="90"/>
      <c r="AX94" s="91"/>
      <c r="BA94" s="56">
        <v>2</v>
      </c>
      <c r="BB94" s="19" t="s">
        <v>92</v>
      </c>
      <c r="BC94" s="31">
        <f>IF('轿厢&gt;井道'!$B$25="GOST 33984.1",$F$44+1750,$F$44+1850)</f>
        <v>4150</v>
      </c>
      <c r="BD94" s="31">
        <f>IF('轿厢&gt;井道'!$B$25="GOST 33984.1",$F$44+1750,$F$44+1850)</f>
        <v>4150</v>
      </c>
      <c r="BE94" s="31">
        <f>IF('轿厢&gt;井道'!$B$25="GOST 33984.1",$F$44+1750,$F$44+1950)</f>
        <v>4250</v>
      </c>
      <c r="BF94" s="79">
        <v>4500</v>
      </c>
      <c r="BG94" s="79">
        <v>4500</v>
      </c>
      <c r="BH94" s="79">
        <v>4500</v>
      </c>
      <c r="BI94" s="31">
        <f>IF('轿厢&gt;井道'!$B$25="GOST 33984.1",$F$44+1950,$F$44+2100)</f>
        <v>4400</v>
      </c>
      <c r="BJ94" s="84"/>
      <c r="BK94" s="71" t="s">
        <v>92</v>
      </c>
      <c r="BL94" s="24"/>
      <c r="BM94" s="56">
        <v>2</v>
      </c>
      <c r="BN94" s="79" t="s">
        <v>92</v>
      </c>
      <c r="BO94" s="79" t="s">
        <v>92</v>
      </c>
      <c r="BP94" s="83">
        <f>IF('轿厢&gt;井道'!$B$25="GOST 33984.1","-",$F$44+1850)</f>
        <v>4150</v>
      </c>
      <c r="BQ94" s="83">
        <f>IF('轿厢&gt;井道'!$B$25="GOST 33984.1","-",$F$44+1950)</f>
        <v>4250</v>
      </c>
      <c r="BR94" s="79">
        <v>4500</v>
      </c>
      <c r="BS94" s="79">
        <v>4500</v>
      </c>
      <c r="BT94" s="79">
        <v>4500</v>
      </c>
      <c r="BU94" s="83">
        <f>IF('轿厢&gt;井道'!$B$25="GOST 33984.1","-",$F$44+2100)</f>
        <v>4400</v>
      </c>
      <c r="BV94" s="71" t="s">
        <v>92</v>
      </c>
      <c r="BX94" s="56">
        <v>2.5</v>
      </c>
      <c r="BY94" s="19" t="s">
        <v>92</v>
      </c>
      <c r="BZ94" s="19">
        <v>4750</v>
      </c>
      <c r="CA94" s="19">
        <v>4750</v>
      </c>
      <c r="CB94" s="19">
        <v>4750</v>
      </c>
      <c r="CC94" s="19">
        <v>4750</v>
      </c>
      <c r="CD94" s="19">
        <v>4750</v>
      </c>
      <c r="CE94" s="19">
        <v>4750</v>
      </c>
      <c r="CF94" s="71" t="s">
        <v>92</v>
      </c>
    </row>
    <row r="95" spans="14:84" ht="12.75" customHeight="1">
      <c r="N95" s="64"/>
      <c r="O95" s="24"/>
      <c r="P95" s="24"/>
      <c r="Q95" s="24"/>
      <c r="R95" s="24"/>
      <c r="S95" s="24"/>
      <c r="T95" s="24"/>
      <c r="U95" s="24"/>
      <c r="V95" s="24"/>
      <c r="W95" s="70"/>
      <c r="X95" s="24"/>
      <c r="AH95" s="56"/>
      <c r="AI95" s="19"/>
      <c r="AJ95" s="19"/>
      <c r="AK95" s="19"/>
      <c r="AL95" s="19"/>
      <c r="AM95" s="73"/>
      <c r="AN95" s="73"/>
      <c r="AO95" s="71"/>
      <c r="BA95" s="56">
        <v>2.5</v>
      </c>
      <c r="BB95" s="19" t="s">
        <v>92</v>
      </c>
      <c r="BC95" s="19" t="s">
        <v>92</v>
      </c>
      <c r="BD95" s="31">
        <f>IF('轿厢&gt;井道'!$B$25="GOST 33984.1",$F$44+2000,$F$44+2150)</f>
        <v>4450</v>
      </c>
      <c r="BE95" s="31">
        <f>IF('轿厢&gt;井道'!$B$25="GOST 33984.1",$F$44+2000,$F$44+2300)</f>
        <v>4600</v>
      </c>
      <c r="BF95" s="79">
        <v>4750</v>
      </c>
      <c r="BG95" s="79">
        <v>4750</v>
      </c>
      <c r="BH95" s="79">
        <v>4750</v>
      </c>
      <c r="BI95" s="31">
        <f>IF('轿厢&gt;井道'!$B$25="GOST 33984.1",$F$44+2150,$F$44+2500)</f>
        <v>4800</v>
      </c>
      <c r="BJ95" s="84"/>
      <c r="BK95" s="71" t="s">
        <v>92</v>
      </c>
      <c r="BL95" s="24"/>
      <c r="BM95" s="56">
        <v>2.5</v>
      </c>
      <c r="BN95" s="79" t="s">
        <v>92</v>
      </c>
      <c r="BO95" s="79" t="s">
        <v>92</v>
      </c>
      <c r="BP95" s="83">
        <f>IF('轿厢&gt;井道'!$B$25="GOST 33984.1","-",$F$44+2150)</f>
        <v>4450</v>
      </c>
      <c r="BQ95" s="83">
        <f>IF('轿厢&gt;井道'!$B$25="GOST 33984.1","-",$F$44+2300)</f>
        <v>4600</v>
      </c>
      <c r="BR95" s="79">
        <v>4750</v>
      </c>
      <c r="BS95" s="79">
        <v>4750</v>
      </c>
      <c r="BT95" s="79">
        <v>4750</v>
      </c>
      <c r="BU95" s="83">
        <f>IF('轿厢&gt;井道'!$B$25="GOST 33984.1","-",$F$44+2500)</f>
        <v>4800</v>
      </c>
      <c r="BV95" s="71" t="s">
        <v>92</v>
      </c>
      <c r="BX95" s="58"/>
      <c r="BY95" s="24"/>
      <c r="BZ95" s="24"/>
      <c r="CA95" s="24"/>
      <c r="CB95" s="24"/>
      <c r="CC95" s="24"/>
      <c r="CD95" s="24"/>
      <c r="CE95" s="24"/>
      <c r="CF95" s="70"/>
    </row>
    <row r="96" spans="14:84" ht="12.75" customHeight="1">
      <c r="N96" s="64"/>
      <c r="O96" s="18"/>
      <c r="P96" s="18"/>
      <c r="Q96" s="18"/>
      <c r="R96" s="18"/>
      <c r="S96" s="18"/>
      <c r="T96" s="18"/>
      <c r="U96" s="18"/>
      <c r="V96" s="18"/>
      <c r="W96" s="67"/>
      <c r="X96" s="24"/>
      <c r="AH96" s="64"/>
      <c r="AI96" s="18"/>
      <c r="AJ96" s="18"/>
      <c r="AK96" s="18"/>
      <c r="AL96" s="18"/>
      <c r="AM96" s="18"/>
      <c r="AN96" s="18"/>
      <c r="AO96" s="67"/>
      <c r="BA96" s="58"/>
      <c r="BB96" s="24"/>
      <c r="BC96" s="24"/>
      <c r="BD96" s="24"/>
      <c r="BE96" s="24"/>
      <c r="BF96" s="81"/>
      <c r="BG96" s="81"/>
      <c r="BH96" s="81"/>
      <c r="BI96" s="24"/>
      <c r="BJ96" s="24"/>
      <c r="BK96" s="70"/>
      <c r="BL96" s="24"/>
      <c r="BM96" s="58"/>
      <c r="BN96" s="24"/>
      <c r="BO96" s="24"/>
      <c r="BP96" s="24"/>
      <c r="BQ96" s="24"/>
      <c r="BR96" s="81"/>
      <c r="BS96" s="81"/>
      <c r="BT96" s="81"/>
      <c r="BU96" s="81"/>
      <c r="BV96" s="70"/>
      <c r="BX96" s="58"/>
      <c r="BY96" s="24"/>
      <c r="BZ96" s="24"/>
      <c r="CA96" s="24"/>
      <c r="CB96" s="24"/>
      <c r="CC96" s="24"/>
      <c r="CD96" s="24"/>
      <c r="CE96" s="24"/>
      <c r="CF96" s="70"/>
    </row>
    <row r="97" spans="14:84" ht="12.75" customHeight="1">
      <c r="N97" s="52" t="s">
        <v>346</v>
      </c>
      <c r="O97" s="18"/>
      <c r="P97" s="18"/>
      <c r="Q97" s="18"/>
      <c r="R97" s="18"/>
      <c r="S97" s="18"/>
      <c r="T97" s="18"/>
      <c r="U97" s="18"/>
      <c r="V97" s="18"/>
      <c r="W97" s="67"/>
      <c r="X97" s="24"/>
      <c r="AH97" s="52" t="s">
        <v>346</v>
      </c>
      <c r="AI97" s="18"/>
      <c r="AJ97" s="18"/>
      <c r="AK97" s="18"/>
      <c r="AL97" s="18"/>
      <c r="AM97" s="18"/>
      <c r="AN97" s="18"/>
      <c r="AO97" s="67"/>
      <c r="BA97" s="52" t="s">
        <v>346</v>
      </c>
      <c r="BK97" s="69"/>
      <c r="BM97" s="52" t="s">
        <v>346</v>
      </c>
      <c r="BV97" s="69"/>
      <c r="BX97" s="52" t="s">
        <v>346</v>
      </c>
      <c r="CF97" s="69"/>
    </row>
    <row r="98" spans="14:84" ht="12.75" customHeight="1">
      <c r="N98" s="53" t="s">
        <v>314</v>
      </c>
      <c r="O98" s="54">
        <v>1600</v>
      </c>
      <c r="P98" s="54">
        <v>2000</v>
      </c>
      <c r="Q98" s="54">
        <v>3000</v>
      </c>
      <c r="R98" s="54">
        <v>4000</v>
      </c>
      <c r="S98" s="54">
        <v>5000</v>
      </c>
      <c r="T98" s="54"/>
      <c r="U98" s="54"/>
      <c r="V98" s="54"/>
      <c r="W98" s="68"/>
      <c r="X98" s="18"/>
      <c r="AH98" s="53" t="s">
        <v>314</v>
      </c>
      <c r="AI98" s="54">
        <v>1600</v>
      </c>
      <c r="AJ98" s="54">
        <v>2000</v>
      </c>
      <c r="AK98" s="54">
        <v>3000</v>
      </c>
      <c r="AL98" s="54">
        <v>4000</v>
      </c>
      <c r="AM98" s="54">
        <v>5000</v>
      </c>
      <c r="AN98" s="54"/>
      <c r="AO98" s="68"/>
      <c r="BA98" s="53" t="s">
        <v>314</v>
      </c>
      <c r="BB98" s="54">
        <v>400</v>
      </c>
      <c r="BC98" s="54">
        <v>630</v>
      </c>
      <c r="BD98" s="54">
        <v>800</v>
      </c>
      <c r="BE98" s="54">
        <v>1000</v>
      </c>
      <c r="BF98" s="54">
        <v>1150</v>
      </c>
      <c r="BG98" s="54">
        <v>1250</v>
      </c>
      <c r="BH98" s="54">
        <v>1350</v>
      </c>
      <c r="BI98" s="54">
        <v>1600</v>
      </c>
      <c r="BJ98" s="72"/>
      <c r="BK98" s="68" t="s">
        <v>92</v>
      </c>
      <c r="BL98" s="24"/>
      <c r="BM98" s="53" t="s">
        <v>314</v>
      </c>
      <c r="BN98" s="54">
        <v>400</v>
      </c>
      <c r="BO98" s="54">
        <v>630</v>
      </c>
      <c r="BP98" s="54">
        <v>800</v>
      </c>
      <c r="BQ98" s="54">
        <v>1000</v>
      </c>
      <c r="BR98" s="54">
        <v>1150</v>
      </c>
      <c r="BS98" s="54">
        <v>1250</v>
      </c>
      <c r="BT98" s="54">
        <v>1350</v>
      </c>
      <c r="BU98" s="54">
        <v>1600</v>
      </c>
      <c r="BV98" s="68" t="s">
        <v>92</v>
      </c>
      <c r="BX98" s="53" t="s">
        <v>314</v>
      </c>
      <c r="BY98" s="54">
        <v>630</v>
      </c>
      <c r="BZ98" s="54">
        <v>800</v>
      </c>
      <c r="CA98" s="54">
        <v>1000</v>
      </c>
      <c r="CB98" s="72">
        <v>1150</v>
      </c>
      <c r="CC98" s="54">
        <v>1250</v>
      </c>
      <c r="CD98" s="54">
        <v>1350</v>
      </c>
      <c r="CE98" s="54">
        <v>1600</v>
      </c>
      <c r="CF98" s="68">
        <v>2000</v>
      </c>
    </row>
    <row r="99" spans="14:84" ht="12.75" customHeight="1">
      <c r="N99" s="56">
        <v>0.5</v>
      </c>
      <c r="O99" s="19">
        <v>1350</v>
      </c>
      <c r="P99" s="19">
        <v>1350</v>
      </c>
      <c r="Q99" s="19">
        <v>1400</v>
      </c>
      <c r="R99" s="19">
        <v>1500</v>
      </c>
      <c r="S99" s="19">
        <v>1500</v>
      </c>
      <c r="T99" s="19"/>
      <c r="U99" s="19"/>
      <c r="V99" s="19"/>
      <c r="W99" s="71"/>
      <c r="X99" s="18"/>
      <c r="AH99" s="56">
        <v>0.5</v>
      </c>
      <c r="AI99" s="19">
        <v>1350</v>
      </c>
      <c r="AJ99" s="19">
        <v>1350</v>
      </c>
      <c r="AK99" s="19">
        <v>1400</v>
      </c>
      <c r="AL99" s="19">
        <v>1550</v>
      </c>
      <c r="AM99" s="19">
        <v>1550</v>
      </c>
      <c r="AN99" s="19"/>
      <c r="AO99" s="71"/>
      <c r="BA99" s="56">
        <v>1</v>
      </c>
      <c r="BB99" s="20">
        <f>IF('轿厢&gt;井道'!$B$25="GOST 33984.1",1100,1100)</f>
        <v>1100</v>
      </c>
      <c r="BC99" s="20">
        <f>IF('轿厢&gt;井道'!$B$25="GOST 33984.1",1100,1100)</f>
        <v>1100</v>
      </c>
      <c r="BD99" s="20">
        <f>IF('轿厢&gt;井道'!$B$25="GOST 33984.1",1100,1100)</f>
        <v>1100</v>
      </c>
      <c r="BE99" s="20">
        <f>IF('轿厢&gt;井道'!$B$25="GOST 33984.1",1100,1100)</f>
        <v>1100</v>
      </c>
      <c r="BF99" s="79">
        <v>1250</v>
      </c>
      <c r="BG99" s="79">
        <v>1250</v>
      </c>
      <c r="BH99" s="79">
        <v>1250</v>
      </c>
      <c r="BI99" s="20">
        <f>IF('轿厢&gt;井道'!$B$25="GOST 33984.1",1150,1150)</f>
        <v>1150</v>
      </c>
      <c r="BJ99" s="82"/>
      <c r="BK99" s="71" t="s">
        <v>92</v>
      </c>
      <c r="BL99" s="24"/>
      <c r="BM99" s="56">
        <v>1</v>
      </c>
      <c r="BN99" s="20">
        <f>IF('轿厢&gt;井道'!$B$25="GOST 33984.1",1100,1100)</f>
        <v>1100</v>
      </c>
      <c r="BO99" s="20">
        <f>IF('轿厢&gt;井道'!$B$25="GOST 33984.1",1100,1100)</f>
        <v>1100</v>
      </c>
      <c r="BP99" s="20">
        <f>IF('轿厢&gt;井道'!$B$25="GOST 33984.1",1100,1100)</f>
        <v>1100</v>
      </c>
      <c r="BQ99" s="20">
        <f>IF('轿厢&gt;井道'!$B$25="GOST 33984.1",1100,1100)</f>
        <v>1100</v>
      </c>
      <c r="BR99" s="79">
        <v>1250</v>
      </c>
      <c r="BS99" s="79">
        <v>1250</v>
      </c>
      <c r="BT99" s="79">
        <v>1250</v>
      </c>
      <c r="BU99" s="99">
        <f>IF('轿厢&gt;井道'!$B$25="GOST 33984.1","-",1150)</f>
        <v>1150</v>
      </c>
      <c r="BV99" s="71" t="s">
        <v>92</v>
      </c>
      <c r="BX99" s="56">
        <v>1</v>
      </c>
      <c r="BY99" s="19">
        <v>1250</v>
      </c>
      <c r="BZ99" s="19">
        <v>1250</v>
      </c>
      <c r="CA99" s="19">
        <v>1250</v>
      </c>
      <c r="CB99" s="19">
        <v>1250</v>
      </c>
      <c r="CC99" s="19">
        <v>1250</v>
      </c>
      <c r="CD99" s="19">
        <v>1250</v>
      </c>
      <c r="CE99" s="19">
        <v>1250</v>
      </c>
      <c r="CF99" s="71">
        <v>1250</v>
      </c>
    </row>
    <row r="100" spans="14:84" ht="12.75" customHeight="1">
      <c r="N100" s="56">
        <v>1</v>
      </c>
      <c r="O100" s="19">
        <v>1350</v>
      </c>
      <c r="P100" s="19">
        <v>1350</v>
      </c>
      <c r="Q100" s="19">
        <v>1400</v>
      </c>
      <c r="R100" s="19">
        <v>1500</v>
      </c>
      <c r="S100" s="19">
        <v>1500</v>
      </c>
      <c r="T100" s="19"/>
      <c r="U100" s="19"/>
      <c r="V100" s="19"/>
      <c r="W100" s="71"/>
      <c r="X100" s="18"/>
      <c r="AH100" s="56">
        <v>1</v>
      </c>
      <c r="AI100" s="19">
        <v>1350</v>
      </c>
      <c r="AJ100" s="19">
        <v>1350</v>
      </c>
      <c r="AK100" s="19">
        <v>1400</v>
      </c>
      <c r="AL100" s="19">
        <v>1550</v>
      </c>
      <c r="AM100" s="19">
        <v>1550</v>
      </c>
      <c r="AN100" s="19"/>
      <c r="AO100" s="71"/>
      <c r="BA100" s="56">
        <v>1.5</v>
      </c>
      <c r="BB100" s="20">
        <f>IF('轿厢&gt;井道'!$B$25="GOST 33984.1",1300,1300)</f>
        <v>1300</v>
      </c>
      <c r="BC100" s="20">
        <f>IF('轿厢&gt;井道'!$B$25="GOST 33984.1",1300,1300)</f>
        <v>1300</v>
      </c>
      <c r="BD100" s="20">
        <f>IF('轿厢&gt;井道'!$B$25="GOST 33984.1",1300,1300)</f>
        <v>1300</v>
      </c>
      <c r="BE100" s="20">
        <f>IF('轿厢&gt;井道'!$B$25="GOST 33984.1",1300,1300)</f>
        <v>1300</v>
      </c>
      <c r="BF100" s="79">
        <v>1350</v>
      </c>
      <c r="BG100" s="79">
        <v>1350</v>
      </c>
      <c r="BH100" s="79">
        <v>1350</v>
      </c>
      <c r="BI100" s="20">
        <f>IF('轿厢&gt;井道'!$B$25="GOST 33984.1",1350,1350)</f>
        <v>1350</v>
      </c>
      <c r="BJ100" s="82"/>
      <c r="BK100" s="71" t="s">
        <v>92</v>
      </c>
      <c r="BL100" s="24"/>
      <c r="BM100" s="56">
        <v>1.5</v>
      </c>
      <c r="BN100" s="20">
        <f>IF('轿厢&gt;井道'!$B$25="GOST 33984.1",1300,1300)</f>
        <v>1300</v>
      </c>
      <c r="BO100" s="20">
        <f>IF('轿厢&gt;井道'!$B$25="GOST 33984.1",1300,1300)</f>
        <v>1300</v>
      </c>
      <c r="BP100" s="20">
        <f>IF('轿厢&gt;井道'!$B$25="GOST 33984.1",1300,1300)</f>
        <v>1300</v>
      </c>
      <c r="BQ100" s="20">
        <f>IF('轿厢&gt;井道'!$B$25="GOST 33984.1",1300,1300)</f>
        <v>1300</v>
      </c>
      <c r="BR100" s="79">
        <v>1350</v>
      </c>
      <c r="BS100" s="79">
        <v>1350</v>
      </c>
      <c r="BT100" s="79">
        <v>1350</v>
      </c>
      <c r="BU100" s="99">
        <f>IF('轿厢&gt;井道'!$B$25="GOST 33984.1","-",1350)</f>
        <v>1350</v>
      </c>
      <c r="BV100" s="71" t="s">
        <v>92</v>
      </c>
      <c r="BX100" s="56">
        <v>1.5</v>
      </c>
      <c r="BY100" s="19">
        <v>1350</v>
      </c>
      <c r="BZ100" s="19">
        <v>1350</v>
      </c>
      <c r="CA100" s="19">
        <v>1350</v>
      </c>
      <c r="CB100" s="19">
        <v>1350</v>
      </c>
      <c r="CC100" s="19">
        <v>1350</v>
      </c>
      <c r="CD100" s="19">
        <v>1350</v>
      </c>
      <c r="CE100" s="19">
        <v>1350</v>
      </c>
      <c r="CF100" s="71">
        <v>1350</v>
      </c>
    </row>
    <row r="101" spans="14:84" ht="12.75" customHeight="1">
      <c r="N101" s="56"/>
      <c r="O101" s="19"/>
      <c r="P101" s="19"/>
      <c r="Q101" s="19"/>
      <c r="R101" s="19"/>
      <c r="S101" s="19"/>
      <c r="T101" s="19"/>
      <c r="U101" s="19"/>
      <c r="V101" s="19"/>
      <c r="W101" s="71"/>
      <c r="X101" s="18"/>
      <c r="AH101" s="56"/>
      <c r="AI101" s="19"/>
      <c r="AJ101" s="19"/>
      <c r="AK101" s="19"/>
      <c r="AL101" s="19"/>
      <c r="AM101" s="19"/>
      <c r="AN101" s="19"/>
      <c r="AO101" s="71"/>
      <c r="BA101" s="56">
        <v>1.6</v>
      </c>
      <c r="BB101" s="20">
        <f>IF('轿厢&gt;井道'!$B$25="GOST 33984.1",1300,1300)</f>
        <v>1300</v>
      </c>
      <c r="BC101" s="20">
        <f>IF('轿厢&gt;井道'!$B$25="GOST 33984.1",1300,1300)</f>
        <v>1300</v>
      </c>
      <c r="BD101" s="20">
        <f>IF('轿厢&gt;井道'!$B$25="GOST 33984.1",1300,1300)</f>
        <v>1300</v>
      </c>
      <c r="BE101" s="20">
        <f>IF('轿厢&gt;井道'!$B$25="GOST 33984.1",1300,1300)</f>
        <v>1300</v>
      </c>
      <c r="BF101" s="79"/>
      <c r="BG101" s="79"/>
      <c r="BH101" s="79"/>
      <c r="BI101" s="20">
        <f>IF('轿厢&gt;井道'!$B$25="GOST 33984.1",1350,1350)</f>
        <v>1350</v>
      </c>
      <c r="BJ101" s="82"/>
      <c r="BK101" s="71"/>
      <c r="BL101" s="24"/>
      <c r="BM101" s="56">
        <v>1.6</v>
      </c>
      <c r="BN101" s="20">
        <f>IF('轿厢&gt;井道'!$B$25="GOST 33984.1",1300,1300)</f>
        <v>1300</v>
      </c>
      <c r="BO101" s="20">
        <f>IF('轿厢&gt;井道'!$B$25="GOST 33984.1",1300,1300)</f>
        <v>1300</v>
      </c>
      <c r="BP101" s="20">
        <f>IF('轿厢&gt;井道'!$B$25="GOST 33984.1",1300,1300)</f>
        <v>1300</v>
      </c>
      <c r="BQ101" s="20">
        <f>IF('轿厢&gt;井道'!$B$25="GOST 33984.1",1300,1300)</f>
        <v>1300</v>
      </c>
      <c r="BR101" s="79"/>
      <c r="BS101" s="79"/>
      <c r="BT101" s="79"/>
      <c r="BU101" s="99">
        <f>IF('轿厢&gt;井道'!$B$25="GOST 33984.1","-",1350)</f>
        <v>1350</v>
      </c>
      <c r="BV101" s="71"/>
      <c r="BX101" s="56">
        <v>1.75</v>
      </c>
      <c r="BY101" s="19">
        <v>1400</v>
      </c>
      <c r="BZ101" s="19">
        <v>1400</v>
      </c>
      <c r="CA101" s="19">
        <v>1400</v>
      </c>
      <c r="CB101" s="19">
        <v>1400</v>
      </c>
      <c r="CC101" s="19">
        <v>1400</v>
      </c>
      <c r="CD101" s="19">
        <v>1400</v>
      </c>
      <c r="CE101" s="19">
        <v>1400</v>
      </c>
      <c r="CF101" s="71">
        <v>1400</v>
      </c>
    </row>
    <row r="102" spans="14:84" ht="12.75" customHeight="1">
      <c r="N102" s="56"/>
      <c r="O102" s="19"/>
      <c r="P102" s="19"/>
      <c r="Q102" s="19"/>
      <c r="R102" s="19"/>
      <c r="S102" s="19"/>
      <c r="T102" s="19"/>
      <c r="U102" s="19"/>
      <c r="V102" s="19"/>
      <c r="W102" s="71"/>
      <c r="AH102" s="56"/>
      <c r="AI102" s="19"/>
      <c r="AJ102" s="19"/>
      <c r="AK102" s="19"/>
      <c r="AL102" s="19"/>
      <c r="AM102" s="19"/>
      <c r="AN102" s="19"/>
      <c r="AO102" s="71"/>
      <c r="BA102" s="56">
        <v>1.75</v>
      </c>
      <c r="BB102" s="20">
        <f>IF('轿厢&gt;井道'!$B$25="GOST 33984.1",1350,1350)</f>
        <v>1350</v>
      </c>
      <c r="BC102" s="20">
        <f>IF('轿厢&gt;井道'!$B$25="GOST 33984.1",1350,1350)</f>
        <v>1350</v>
      </c>
      <c r="BD102" s="20">
        <f>IF('轿厢&gt;井道'!$B$25="GOST 33984.1",1350,1350)</f>
        <v>1350</v>
      </c>
      <c r="BE102" s="20">
        <f>IF('轿厢&gt;井道'!$B$25="GOST 33984.1",1350,1350)</f>
        <v>1350</v>
      </c>
      <c r="BF102" s="79">
        <v>1400</v>
      </c>
      <c r="BG102" s="79">
        <v>1400</v>
      </c>
      <c r="BH102" s="79">
        <v>1400</v>
      </c>
      <c r="BI102" s="20">
        <f>IF('轿厢&gt;井道'!$B$25="GOST 33984.1",1400,1400)</f>
        <v>1400</v>
      </c>
      <c r="BJ102" s="82"/>
      <c r="BK102" s="71" t="s">
        <v>92</v>
      </c>
      <c r="BL102" s="24"/>
      <c r="BM102" s="56">
        <v>1.75</v>
      </c>
      <c r="BN102" s="20">
        <f>IF('轿厢&gt;井道'!$B$25="GOST 33984.1",1350,1350)</f>
        <v>1350</v>
      </c>
      <c r="BO102" s="20">
        <f>IF('轿厢&gt;井道'!$B$25="GOST 33984.1",1350,1350)</f>
        <v>1350</v>
      </c>
      <c r="BP102" s="20">
        <f>IF('轿厢&gt;井道'!$B$25="GOST 33984.1",1350,1350)</f>
        <v>1350</v>
      </c>
      <c r="BQ102" s="20">
        <f>IF('轿厢&gt;井道'!$B$25="GOST 33984.1",1350,1350)</f>
        <v>1350</v>
      </c>
      <c r="BR102" s="79">
        <v>1400</v>
      </c>
      <c r="BS102" s="79">
        <v>1400</v>
      </c>
      <c r="BT102" s="79">
        <v>1400</v>
      </c>
      <c r="BU102" s="99">
        <f>IF('轿厢&gt;井道'!$B$25="GOST 33984.1","-",1400)</f>
        <v>1400</v>
      </c>
      <c r="BV102" s="71" t="s">
        <v>92</v>
      </c>
      <c r="BX102" s="56">
        <v>2</v>
      </c>
      <c r="BY102" s="19" t="s">
        <v>92</v>
      </c>
      <c r="BZ102" s="19">
        <v>1450</v>
      </c>
      <c r="CA102" s="19">
        <v>1450</v>
      </c>
      <c r="CB102" s="19">
        <v>1450</v>
      </c>
      <c r="CC102" s="19">
        <v>1450</v>
      </c>
      <c r="CD102" s="19">
        <v>1450</v>
      </c>
      <c r="CE102" s="19">
        <v>1450</v>
      </c>
      <c r="CF102" s="71" t="s">
        <v>92</v>
      </c>
    </row>
    <row r="103" spans="14:84" ht="12.75" customHeight="1">
      <c r="N103" s="89"/>
      <c r="O103" s="90"/>
      <c r="P103" s="90"/>
      <c r="Q103" s="90"/>
      <c r="R103" s="90"/>
      <c r="S103" s="90"/>
      <c r="T103" s="90"/>
      <c r="U103" s="90"/>
      <c r="V103" s="90"/>
      <c r="W103" s="91"/>
      <c r="AH103" s="56"/>
      <c r="AI103" s="19"/>
      <c r="AJ103" s="19"/>
      <c r="AK103" s="19"/>
      <c r="AL103" s="19"/>
      <c r="AM103" s="19"/>
      <c r="AN103" s="19"/>
      <c r="AO103" s="71"/>
      <c r="BA103" s="56">
        <v>2</v>
      </c>
      <c r="BB103" s="19" t="s">
        <v>92</v>
      </c>
      <c r="BC103" s="20">
        <f>IF('轿厢&gt;井道'!$B$25="GOST 33984.1",1400,1400)</f>
        <v>1400</v>
      </c>
      <c r="BD103" s="20">
        <f>IF('轿厢&gt;井道'!$B$25="GOST 33984.1",1400,1400)</f>
        <v>1400</v>
      </c>
      <c r="BE103" s="20">
        <f>IF('轿厢&gt;井道'!$B$25="GOST 33984.1",1400,1400)</f>
        <v>1400</v>
      </c>
      <c r="BF103" s="79">
        <v>1450</v>
      </c>
      <c r="BG103" s="79">
        <v>1450</v>
      </c>
      <c r="BH103" s="79">
        <v>1450</v>
      </c>
      <c r="BI103" s="20">
        <f>IF('轿厢&gt;井道'!$B$25="GOST 33984.1",1450,1450)</f>
        <v>1450</v>
      </c>
      <c r="BJ103" s="82"/>
      <c r="BK103" s="71" t="s">
        <v>92</v>
      </c>
      <c r="BL103" s="24"/>
      <c r="BM103" s="56">
        <v>2</v>
      </c>
      <c r="BN103" s="19" t="s">
        <v>92</v>
      </c>
      <c r="BO103" s="19" t="s">
        <v>92</v>
      </c>
      <c r="BP103" s="20">
        <f>IF('轿厢&gt;井道'!$B$25="GOST 33984.1","-",1400)</f>
        <v>1400</v>
      </c>
      <c r="BQ103" s="20">
        <f>IF('轿厢&gt;井道'!$B$25="GOST 33984.1","-",1400)</f>
        <v>1400</v>
      </c>
      <c r="BR103" s="79">
        <v>1450</v>
      </c>
      <c r="BS103" s="79">
        <v>1450</v>
      </c>
      <c r="BT103" s="79">
        <v>1450</v>
      </c>
      <c r="BU103" s="99">
        <f>IF('轿厢&gt;井道'!$B$25="GOST 33984.1","-",1450)</f>
        <v>1450</v>
      </c>
      <c r="BV103" s="71" t="s">
        <v>92</v>
      </c>
      <c r="BX103" s="56">
        <v>2.5</v>
      </c>
      <c r="BY103" s="90" t="s">
        <v>92</v>
      </c>
      <c r="BZ103" s="90">
        <v>1600</v>
      </c>
      <c r="CA103" s="90">
        <v>1600</v>
      </c>
      <c r="CB103" s="90">
        <v>1600</v>
      </c>
      <c r="CC103" s="90">
        <v>1600</v>
      </c>
      <c r="CD103" s="90">
        <v>1600</v>
      </c>
      <c r="CE103" s="90">
        <v>1600</v>
      </c>
      <c r="CF103" s="91" t="s">
        <v>92</v>
      </c>
    </row>
    <row r="104" spans="14:84" ht="12.75" customHeight="1">
      <c r="AH104" s="89"/>
      <c r="AI104" s="90"/>
      <c r="AJ104" s="90"/>
      <c r="AK104" s="90"/>
      <c r="AL104" s="90"/>
      <c r="AM104" s="90"/>
      <c r="AN104" s="90"/>
      <c r="AO104" s="91"/>
      <c r="BA104" s="56">
        <v>2.5</v>
      </c>
      <c r="BB104" s="90" t="s">
        <v>92</v>
      </c>
      <c r="BC104" s="90" t="s">
        <v>92</v>
      </c>
      <c r="BD104" s="96">
        <f>IF('轿厢&gt;井道'!$B$25="GOST 33984.1",1650,1650)</f>
        <v>1650</v>
      </c>
      <c r="BE104" s="96">
        <f>IF('轿厢&gt;井道'!$B$25="GOST 33984.1",1650,1650)</f>
        <v>1650</v>
      </c>
      <c r="BF104" s="97">
        <v>1600</v>
      </c>
      <c r="BG104" s="97">
        <v>1600</v>
      </c>
      <c r="BH104" s="97">
        <v>1600</v>
      </c>
      <c r="BI104" s="96">
        <f>IF('轿厢&gt;井道'!$B$25="GOST 33984.1",1700,1700)</f>
        <v>1700</v>
      </c>
      <c r="BJ104" s="98"/>
      <c r="BK104" s="91" t="s">
        <v>92</v>
      </c>
      <c r="BL104" s="24"/>
      <c r="BM104" s="56">
        <v>2.5</v>
      </c>
      <c r="BN104" s="90" t="s">
        <v>92</v>
      </c>
      <c r="BO104" s="90" t="s">
        <v>92</v>
      </c>
      <c r="BP104" s="96">
        <f>IF('轿厢&gt;井道'!$B$25="GOST 33984.1","-",1650)</f>
        <v>1650</v>
      </c>
      <c r="BQ104" s="96">
        <f>IF('轿厢&gt;井道'!$B$25="GOST 33984.1","-",1650)</f>
        <v>1650</v>
      </c>
      <c r="BR104" s="97">
        <v>1600</v>
      </c>
      <c r="BS104" s="97">
        <v>1600</v>
      </c>
      <c r="BT104" s="97">
        <v>1600</v>
      </c>
      <c r="BU104" s="100">
        <f>IF('轿厢&gt;井道'!$B$25="GOST 33984.1","-",1650)</f>
        <v>1650</v>
      </c>
      <c r="BV104" s="91" t="s">
        <v>92</v>
      </c>
    </row>
    <row r="105" spans="14:84" ht="12.75" customHeight="1"/>
    <row r="106" spans="14:84" ht="12.75" customHeight="1"/>
    <row r="107" spans="14:84" ht="12.75" customHeight="1"/>
    <row r="108" spans="14:84" ht="12.75" customHeight="1"/>
    <row r="109" spans="14:84" ht="12.75" customHeight="1"/>
    <row r="110" spans="14:84" ht="12.75" customHeight="1"/>
    <row r="111" spans="14:84" ht="12.75" customHeight="1"/>
    <row r="112" spans="14:84"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spans="12:12" ht="12.75" customHeight="1"/>
    <row r="146" spans="12:12" ht="12.75" customHeight="1"/>
    <row r="147" spans="12:12" ht="12.75" customHeight="1"/>
    <row r="148" spans="12:12" ht="12.75" customHeight="1"/>
    <row r="149" spans="12:12" ht="12.75" customHeight="1"/>
    <row r="150" spans="12:12" ht="12.75" customHeight="1"/>
    <row r="151" spans="12:12" ht="12.75" customHeight="1"/>
    <row r="152" spans="12:12" ht="12.75" customHeight="1"/>
    <row r="153" spans="12:12" ht="12.75" customHeight="1"/>
    <row r="154" spans="12:12" ht="12.75" customHeight="1"/>
    <row r="155" spans="12:12" ht="12.75" customHeight="1"/>
    <row r="156" spans="12:12" ht="12.75" customHeight="1"/>
    <row r="157" spans="12:12" ht="12.75" customHeight="1"/>
    <row r="158" spans="12:12" ht="12.75" customHeight="1"/>
    <row r="159" spans="12:12" ht="12.75" customHeight="1"/>
    <row r="160" spans="12:12" ht="12.75" customHeight="1">
      <c r="L160" s="14" t="e">
        <f ca="1">OFFSET(标准配置!Y45,MATCH(L152,标,0),MATCH($B$22,标准配置!AR45:AX45,0),1,1)</f>
        <v>#NAME?</v>
      </c>
    </row>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sheetData>
  <mergeCells count="15">
    <mergeCell ref="BM1:BS1"/>
    <mergeCell ref="BU1:BV1"/>
    <mergeCell ref="BX1:CD1"/>
    <mergeCell ref="CE1:CF1"/>
    <mergeCell ref="L4:L6"/>
    <mergeCell ref="AN1:AO1"/>
    <mergeCell ref="AQ1:AV1"/>
    <mergeCell ref="AW1:AX1"/>
    <mergeCell ref="BA1:BG1"/>
    <mergeCell ref="BI1:BK1"/>
    <mergeCell ref="N1:U1"/>
    <mergeCell ref="V1:W1"/>
    <mergeCell ref="Y1:AD1"/>
    <mergeCell ref="AE1:AF1"/>
    <mergeCell ref="AH1:AM1"/>
  </mergeCells>
  <phoneticPr fontId="145" type="noConversion"/>
  <pageMargins left="0.7" right="0.7" top="0.75" bottom="0.75" header="0.3" footer="0.3"/>
  <pageSetup paperSize="9" orientation="portrait"/>
  <ignoredErrors>
    <ignoredError sqref="BI93" formula="1"/>
  </ignoredError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theme="3" tint="-0.499984740745262"/>
  </sheetPr>
  <dimension ref="A1:N307"/>
  <sheetViews>
    <sheetView topLeftCell="A70" workbookViewId="0">
      <selection activeCell="G85" sqref="G85"/>
    </sheetView>
  </sheetViews>
  <sheetFormatPr defaultColWidth="9" defaultRowHeight="14.25"/>
  <cols>
    <col min="1" max="1" width="18.625" style="14" customWidth="1"/>
    <col min="2" max="5" width="12.625" style="14" customWidth="1"/>
    <col min="6" max="6" width="12.25" style="14" customWidth="1"/>
    <col min="7" max="7" width="13.625" style="14" customWidth="1"/>
    <col min="8" max="8" width="9.5" style="14" customWidth="1"/>
    <col min="9" max="10" width="10.375" style="14" customWidth="1"/>
    <col min="11" max="11" width="10.25" style="14" customWidth="1"/>
    <col min="12" max="14" width="10.625" style="14" customWidth="1"/>
    <col min="15" max="16384" width="9" style="14"/>
  </cols>
  <sheetData>
    <row r="1" spans="1:5">
      <c r="A1" s="15" t="s">
        <v>347</v>
      </c>
    </row>
    <row r="2" spans="1:5" ht="16.5">
      <c r="A2" s="13" t="s">
        <v>348</v>
      </c>
      <c r="B2" s="16" t="s">
        <v>349</v>
      </c>
      <c r="C2" s="16" t="s">
        <v>350</v>
      </c>
      <c r="D2" s="16" t="s">
        <v>351</v>
      </c>
      <c r="E2" s="16"/>
    </row>
    <row r="3" spans="1:5">
      <c r="A3" s="13" t="s">
        <v>46</v>
      </c>
      <c r="B3" s="16">
        <v>15</v>
      </c>
      <c r="C3" s="16">
        <v>25</v>
      </c>
      <c r="D3" s="16">
        <v>40</v>
      </c>
      <c r="E3" s="13"/>
    </row>
    <row r="4" spans="1:5">
      <c r="A4" s="13" t="s">
        <v>352</v>
      </c>
      <c r="B4" s="16">
        <f>B3+25</f>
        <v>40</v>
      </c>
      <c r="C4" s="16">
        <f>C3+35</f>
        <v>60</v>
      </c>
      <c r="D4" s="16">
        <f>D3+50</f>
        <v>90</v>
      </c>
      <c r="E4" s="13"/>
    </row>
    <row r="6" spans="1:5" ht="16.5">
      <c r="A6" s="15" t="s">
        <v>353</v>
      </c>
    </row>
    <row r="7" spans="1:5" ht="16.5">
      <c r="A7" s="17" t="s">
        <v>354</v>
      </c>
      <c r="B7" s="301"/>
      <c r="C7" s="301"/>
      <c r="D7" s="301"/>
      <c r="E7" s="301"/>
    </row>
    <row r="8" spans="1:5" ht="50.25" customHeight="1">
      <c r="A8" s="13" t="s">
        <v>93</v>
      </c>
      <c r="B8" s="302"/>
      <c r="C8" s="302"/>
      <c r="D8" s="302"/>
      <c r="E8" s="301"/>
    </row>
    <row r="9" spans="1:5" ht="50.25" customHeight="1">
      <c r="A9" s="13" t="s">
        <v>31</v>
      </c>
      <c r="B9" s="302"/>
      <c r="C9" s="302"/>
      <c r="D9" s="302"/>
      <c r="E9" s="301"/>
    </row>
    <row r="10" spans="1:5">
      <c r="A10" s="13" t="s">
        <v>36</v>
      </c>
      <c r="B10" s="301"/>
      <c r="C10" s="301"/>
      <c r="D10" s="301"/>
      <c r="E10" s="301"/>
    </row>
    <row r="13" spans="1:5" ht="20.100000000000001" customHeight="1">
      <c r="A13" s="15" t="s">
        <v>355</v>
      </c>
      <c r="B13" s="18"/>
      <c r="C13" s="18"/>
      <c r="D13" s="18"/>
      <c r="E13" s="18"/>
    </row>
    <row r="14" spans="1:5">
      <c r="A14" s="19"/>
      <c r="B14" s="19"/>
      <c r="C14" s="19"/>
      <c r="D14" s="19" t="s">
        <v>356</v>
      </c>
      <c r="E14" s="19" t="s">
        <v>357</v>
      </c>
    </row>
    <row r="15" spans="1:5" ht="12.75" customHeight="1">
      <c r="A15" s="304" t="s">
        <v>358</v>
      </c>
      <c r="B15" s="304" t="s">
        <v>359</v>
      </c>
      <c r="C15" s="19" t="s">
        <v>93</v>
      </c>
      <c r="D15" s="19">
        <v>85</v>
      </c>
      <c r="E15" s="20">
        <f>D15-80</f>
        <v>5</v>
      </c>
    </row>
    <row r="16" spans="1:5" ht="12.75" customHeight="1">
      <c r="A16" s="305"/>
      <c r="B16" s="305"/>
      <c r="C16" s="19" t="s">
        <v>31</v>
      </c>
      <c r="D16" s="19">
        <v>104</v>
      </c>
      <c r="E16" s="20">
        <f t="shared" ref="E16:E19" si="0">D16-80</f>
        <v>24</v>
      </c>
    </row>
    <row r="17" spans="1:5" ht="12.75" customHeight="1">
      <c r="A17" s="305"/>
      <c r="B17" s="305"/>
      <c r="C17" s="19" t="s">
        <v>36</v>
      </c>
      <c r="D17" s="19">
        <v>104</v>
      </c>
      <c r="E17" s="20">
        <f t="shared" si="0"/>
        <v>24</v>
      </c>
    </row>
    <row r="18" spans="1:5" ht="12.75" customHeight="1">
      <c r="A18" s="305"/>
      <c r="B18" s="305"/>
      <c r="C18" s="19" t="s">
        <v>360</v>
      </c>
      <c r="D18" s="19">
        <v>139</v>
      </c>
      <c r="E18" s="20">
        <f t="shared" si="0"/>
        <v>59</v>
      </c>
    </row>
    <row r="19" spans="1:5" ht="12.75" customHeight="1">
      <c r="A19" s="305"/>
      <c r="B19" s="305"/>
      <c r="C19" s="19" t="s">
        <v>94</v>
      </c>
      <c r="D19" s="19">
        <v>139</v>
      </c>
      <c r="E19" s="20">
        <f t="shared" si="0"/>
        <v>59</v>
      </c>
    </row>
    <row r="20" spans="1:5" ht="12.75" customHeight="1">
      <c r="A20" s="305"/>
      <c r="B20" s="306"/>
      <c r="C20" s="19" t="s">
        <v>92</v>
      </c>
      <c r="D20" s="19" t="s">
        <v>92</v>
      </c>
      <c r="E20" s="20" t="s">
        <v>92</v>
      </c>
    </row>
    <row r="21" spans="1:5" ht="12.75" customHeight="1">
      <c r="A21" s="304" t="s">
        <v>358</v>
      </c>
      <c r="B21" s="307" t="s">
        <v>361</v>
      </c>
      <c r="C21" s="19" t="s">
        <v>93</v>
      </c>
      <c r="D21" s="19">
        <v>85</v>
      </c>
      <c r="E21" s="20">
        <f>D21-80</f>
        <v>5</v>
      </c>
    </row>
    <row r="22" spans="1:5" ht="12.75" customHeight="1">
      <c r="A22" s="305"/>
      <c r="B22" s="308"/>
      <c r="C22" s="19" t="s">
        <v>31</v>
      </c>
      <c r="D22" s="19">
        <v>78.5</v>
      </c>
      <c r="E22" s="20">
        <f>D22-50</f>
        <v>28.5</v>
      </c>
    </row>
    <row r="23" spans="1:5" ht="12.75" customHeight="1">
      <c r="A23" s="305"/>
      <c r="B23" s="309"/>
      <c r="C23" s="19" t="s">
        <v>92</v>
      </c>
      <c r="D23" s="19" t="s">
        <v>92</v>
      </c>
      <c r="E23" s="19" t="s">
        <v>92</v>
      </c>
    </row>
    <row r="24" spans="1:5" ht="12.75" customHeight="1">
      <c r="A24" s="305"/>
      <c r="B24" s="310"/>
      <c r="C24" s="19"/>
      <c r="D24" s="19"/>
      <c r="E24" s="19"/>
    </row>
    <row r="25" spans="1:5" ht="12.75" customHeight="1">
      <c r="A25" s="305"/>
      <c r="B25" s="305"/>
      <c r="C25" s="19"/>
      <c r="D25" s="19"/>
      <c r="E25" s="19"/>
    </row>
    <row r="26" spans="1:5" ht="12.75" customHeight="1">
      <c r="A26" s="305"/>
      <c r="B26" s="306"/>
      <c r="C26" s="19"/>
      <c r="D26" s="19"/>
      <c r="E26" s="19"/>
    </row>
    <row r="27" spans="1:5" ht="12.75" customHeight="1">
      <c r="A27" s="304"/>
      <c r="B27" s="307"/>
      <c r="C27" s="19"/>
      <c r="D27" s="19"/>
      <c r="E27" s="19"/>
    </row>
    <row r="28" spans="1:5" ht="12.75" customHeight="1">
      <c r="A28" s="305"/>
      <c r="B28" s="308"/>
      <c r="C28" s="19"/>
      <c r="D28" s="19"/>
      <c r="E28" s="19"/>
    </row>
    <row r="29" spans="1:5" ht="12.75" customHeight="1">
      <c r="A29" s="305"/>
      <c r="B29" s="309"/>
      <c r="C29" s="19"/>
      <c r="D29" s="19"/>
      <c r="E29" s="19"/>
    </row>
    <row r="30" spans="1:5" ht="12.75" customHeight="1">
      <c r="A30" s="305"/>
      <c r="B30" s="307"/>
      <c r="C30" s="19"/>
      <c r="D30" s="19"/>
      <c r="E30" s="19"/>
    </row>
    <row r="31" spans="1:5" ht="12.75" customHeight="1">
      <c r="A31" s="305"/>
      <c r="B31" s="308"/>
      <c r="C31" s="19"/>
      <c r="D31" s="19"/>
      <c r="E31" s="19"/>
    </row>
    <row r="32" spans="1:5" ht="12.75" customHeight="1">
      <c r="A32" s="306"/>
      <c r="B32" s="309"/>
      <c r="C32" s="19"/>
      <c r="D32" s="19"/>
      <c r="E32" s="19"/>
    </row>
    <row r="33" spans="1:6" ht="12.75" customHeight="1"/>
    <row r="34" spans="1:6" ht="20.100000000000001" customHeight="1">
      <c r="A34" s="15" t="s">
        <v>362</v>
      </c>
      <c r="B34" s="18"/>
      <c r="C34" s="18"/>
      <c r="D34" s="18"/>
      <c r="F34" s="15" t="s">
        <v>363</v>
      </c>
    </row>
    <row r="35" spans="1:6" ht="12.75" customHeight="1">
      <c r="A35" s="19" t="s">
        <v>364</v>
      </c>
      <c r="B35" s="21" t="s">
        <v>365</v>
      </c>
      <c r="C35" s="21" t="s">
        <v>366</v>
      </c>
      <c r="D35" s="21" t="s">
        <v>367</v>
      </c>
      <c r="F35" s="19" t="s">
        <v>364</v>
      </c>
    </row>
    <row r="36" spans="1:6" ht="12.75" customHeight="1">
      <c r="A36" s="19">
        <v>20000</v>
      </c>
      <c r="B36" s="22">
        <f>5+0.16*(A36-2500)/100</f>
        <v>33</v>
      </c>
      <c r="C36" s="22">
        <f>ROUNDDOWN(A36/75,0)</f>
        <v>266</v>
      </c>
      <c r="D36" s="22">
        <f>3.13+(C36-20)*0.115</f>
        <v>31.42</v>
      </c>
      <c r="F36" s="19">
        <v>6000</v>
      </c>
    </row>
    <row r="37" spans="1:6" ht="12.75" customHeight="1">
      <c r="A37" s="19">
        <v>18000</v>
      </c>
      <c r="B37" s="22">
        <f>5+0.16*(A37-2500)/100</f>
        <v>29.8</v>
      </c>
      <c r="C37" s="22">
        <f>ROUNDDOWN(A37/75,0)</f>
        <v>240</v>
      </c>
      <c r="D37" s="22">
        <f>3.13+(C37-20)*0.115</f>
        <v>28.43</v>
      </c>
      <c r="F37" s="19">
        <v>5000</v>
      </c>
    </row>
    <row r="38" spans="1:6" ht="12.75" customHeight="1">
      <c r="A38" s="19">
        <v>15000</v>
      </c>
      <c r="B38" s="22">
        <f>5+0.16*(A38-2500)/100</f>
        <v>25</v>
      </c>
      <c r="C38" s="22">
        <f>ROUNDDOWN(A38/75,0)</f>
        <v>200</v>
      </c>
      <c r="D38" s="22">
        <f>3.13+(C38-20)*0.115</f>
        <v>23.83</v>
      </c>
      <c r="F38" s="19">
        <v>4000</v>
      </c>
    </row>
    <row r="39" spans="1:6" ht="12.75" customHeight="1">
      <c r="A39" s="19">
        <v>12000</v>
      </c>
      <c r="B39" s="22">
        <f>5+0.16*(A39-2500)/100</f>
        <v>20.2</v>
      </c>
      <c r="C39" s="22">
        <f>ROUNDDOWN(A39/75,0)</f>
        <v>160</v>
      </c>
      <c r="D39" s="22">
        <f>3.13+(C39-20)*0.115</f>
        <v>19.23</v>
      </c>
      <c r="F39" s="19">
        <v>3000</v>
      </c>
    </row>
    <row r="40" spans="1:6" ht="12.75" customHeight="1">
      <c r="A40" s="19">
        <v>10000</v>
      </c>
      <c r="B40" s="22">
        <f>5+0.16*(A40-2500)/100</f>
        <v>17</v>
      </c>
      <c r="C40" s="22">
        <f>ROUNDDOWN(A40/75,0)</f>
        <v>133</v>
      </c>
      <c r="D40" s="22">
        <f>3.13+(C40-20)*0.115</f>
        <v>16.125</v>
      </c>
      <c r="F40" s="19">
        <v>2000</v>
      </c>
    </row>
    <row r="41" spans="1:6" ht="12.75" customHeight="1">
      <c r="A41" s="19">
        <v>6000</v>
      </c>
      <c r="B41" s="19">
        <v>10.6</v>
      </c>
      <c r="C41" s="19">
        <v>80</v>
      </c>
      <c r="D41" s="19">
        <v>10.029999999999999</v>
      </c>
      <c r="F41" s="19">
        <v>1800</v>
      </c>
    </row>
    <row r="42" spans="1:6" ht="12.75" customHeight="1">
      <c r="A42" s="23">
        <v>5500</v>
      </c>
      <c r="B42" s="22">
        <f>(A42-$A$48)*0.0016+$B$48</f>
        <v>9.8000000000000007</v>
      </c>
      <c r="C42" s="22">
        <f>ROUNDDOWN(A42/75,0)</f>
        <v>73</v>
      </c>
      <c r="D42" s="22">
        <f>3.13+(C42-20)*0.115</f>
        <v>9.2249999999999996</v>
      </c>
      <c r="F42" s="19">
        <v>1600</v>
      </c>
    </row>
    <row r="43" spans="1:6" ht="12.75" customHeight="1">
      <c r="A43" s="19">
        <v>5000</v>
      </c>
      <c r="B43" s="19">
        <v>9</v>
      </c>
      <c r="C43" s="19">
        <v>66</v>
      </c>
      <c r="D43" s="19">
        <v>8.42</v>
      </c>
      <c r="F43" s="19">
        <v>1350</v>
      </c>
    </row>
    <row r="44" spans="1:6" ht="12.75" customHeight="1">
      <c r="A44" s="23">
        <v>4500</v>
      </c>
      <c r="B44" s="22">
        <f>(A44-$A$48)*0.0016+$B$48</f>
        <v>8.1999999999999993</v>
      </c>
      <c r="C44" s="22">
        <f>ROUNDDOWN(A44/75,0)</f>
        <v>60</v>
      </c>
      <c r="D44" s="22">
        <f>3.13+(C44-20)*0.115</f>
        <v>7.73</v>
      </c>
      <c r="F44" s="19">
        <v>1250</v>
      </c>
    </row>
    <row r="45" spans="1:6" ht="12.75" customHeight="1">
      <c r="A45" s="19">
        <v>4000</v>
      </c>
      <c r="B45" s="19">
        <v>7.4</v>
      </c>
      <c r="C45" s="19">
        <v>53</v>
      </c>
      <c r="D45" s="19">
        <v>6.9249999999999998</v>
      </c>
      <c r="F45" s="19">
        <v>1150</v>
      </c>
    </row>
    <row r="46" spans="1:6" ht="12.75" customHeight="1">
      <c r="A46" s="23">
        <v>3500</v>
      </c>
      <c r="B46" s="22">
        <f>(A46-$A$48)*0.0016+$B$48</f>
        <v>6.6</v>
      </c>
      <c r="C46" s="22">
        <f>ROUNDDOWN(A46/75,0)</f>
        <v>46</v>
      </c>
      <c r="D46" s="22">
        <f>3.13+(C46-20)*0.115</f>
        <v>6.12</v>
      </c>
      <c r="F46" s="19">
        <v>1050</v>
      </c>
    </row>
    <row r="47" spans="1:6" ht="12.75" customHeight="1">
      <c r="A47" s="19">
        <v>3000</v>
      </c>
      <c r="B47" s="19">
        <v>5.8</v>
      </c>
      <c r="C47" s="19">
        <v>40</v>
      </c>
      <c r="D47" s="19">
        <v>5.43</v>
      </c>
      <c r="F47" s="19">
        <v>1000</v>
      </c>
    </row>
    <row r="48" spans="1:6" ht="12.75" customHeight="1">
      <c r="A48" s="23">
        <v>2300</v>
      </c>
      <c r="B48" s="22">
        <f>B49+(A48-A49)/(A47-A49)*(B47-B49)</f>
        <v>4.68</v>
      </c>
      <c r="C48" s="22">
        <f>ROUNDDOWN(A48/75,0)</f>
        <v>30</v>
      </c>
      <c r="D48" s="22">
        <f>3.13+(C48-20)*0.115</f>
        <v>4.28</v>
      </c>
      <c r="F48" s="19">
        <v>800</v>
      </c>
    </row>
    <row r="49" spans="1:9" ht="12.75" customHeight="1">
      <c r="A49" s="19">
        <v>2000</v>
      </c>
      <c r="B49" s="19">
        <v>4.2</v>
      </c>
      <c r="C49" s="19">
        <v>26</v>
      </c>
      <c r="D49" s="19">
        <v>3.82</v>
      </c>
      <c r="F49" s="19">
        <v>630</v>
      </c>
    </row>
    <row r="50" spans="1:9" ht="12.75" customHeight="1">
      <c r="A50" s="19">
        <v>1800</v>
      </c>
      <c r="B50" s="19">
        <v>3.88</v>
      </c>
      <c r="C50" s="19">
        <v>24</v>
      </c>
      <c r="D50" s="19">
        <v>3.59</v>
      </c>
      <c r="F50" s="19">
        <v>450</v>
      </c>
    </row>
    <row r="51" spans="1:9" ht="12.75" customHeight="1">
      <c r="A51" s="19">
        <v>1600</v>
      </c>
      <c r="B51" s="19">
        <v>3.56</v>
      </c>
      <c r="C51" s="19">
        <v>21</v>
      </c>
      <c r="D51" s="19">
        <v>3.2450000000000001</v>
      </c>
      <c r="F51" s="19">
        <v>400</v>
      </c>
    </row>
    <row r="52" spans="1:9" ht="12.75" customHeight="1">
      <c r="A52" s="19">
        <v>1350</v>
      </c>
      <c r="B52" s="19">
        <v>3.1</v>
      </c>
      <c r="C52" s="19">
        <v>18</v>
      </c>
      <c r="D52" s="19">
        <v>2.85</v>
      </c>
      <c r="F52" s="19">
        <v>320</v>
      </c>
    </row>
    <row r="53" spans="1:9" ht="12.75" customHeight="1">
      <c r="A53" s="19">
        <v>1250</v>
      </c>
      <c r="B53" s="19">
        <v>2.9</v>
      </c>
      <c r="C53" s="19">
        <v>16</v>
      </c>
      <c r="D53" s="19">
        <v>2.57</v>
      </c>
      <c r="F53" s="19"/>
    </row>
    <row r="54" spans="1:9" ht="12.75" customHeight="1">
      <c r="A54" s="19">
        <v>1150</v>
      </c>
      <c r="B54" s="19">
        <v>2.7</v>
      </c>
      <c r="C54" s="19">
        <v>15</v>
      </c>
      <c r="D54" s="19">
        <v>2.4300000000000002</v>
      </c>
      <c r="F54" s="19"/>
    </row>
    <row r="55" spans="1:9" ht="12.75" customHeight="1">
      <c r="A55" s="19">
        <v>1000</v>
      </c>
      <c r="B55" s="19">
        <v>2.4</v>
      </c>
      <c r="C55" s="19">
        <v>13</v>
      </c>
      <c r="D55" s="19">
        <v>2.15</v>
      </c>
      <c r="F55" s="19"/>
    </row>
    <row r="56" spans="1:9" ht="12.75" customHeight="1">
      <c r="A56" s="19">
        <v>800</v>
      </c>
      <c r="B56" s="19">
        <v>2</v>
      </c>
      <c r="C56" s="19">
        <v>10</v>
      </c>
      <c r="D56" s="19">
        <v>1.73</v>
      </c>
      <c r="F56" s="19"/>
    </row>
    <row r="57" spans="1:9" ht="12.75" customHeight="1">
      <c r="A57" s="19">
        <v>630</v>
      </c>
      <c r="B57" s="19">
        <v>1.66</v>
      </c>
      <c r="C57" s="19">
        <v>8</v>
      </c>
      <c r="D57" s="19">
        <v>1.45</v>
      </c>
      <c r="F57" s="19"/>
    </row>
    <row r="58" spans="1:9" ht="12.75" customHeight="1">
      <c r="A58" s="19">
        <v>450</v>
      </c>
      <c r="B58" s="19">
        <v>1.3</v>
      </c>
      <c r="C58" s="19">
        <v>6</v>
      </c>
      <c r="D58" s="19">
        <v>1.17</v>
      </c>
      <c r="F58" s="19"/>
    </row>
    <row r="59" spans="1:9" ht="12.75" customHeight="1">
      <c r="A59" s="19">
        <v>400</v>
      </c>
      <c r="B59" s="19">
        <v>1.17</v>
      </c>
      <c r="C59" s="19">
        <v>5</v>
      </c>
      <c r="D59" s="19">
        <v>0.98</v>
      </c>
      <c r="F59" s="19"/>
    </row>
    <row r="60" spans="1:9" ht="12.75" customHeight="1">
      <c r="A60" s="19">
        <v>320</v>
      </c>
      <c r="B60" s="19">
        <v>0.95299999999999996</v>
      </c>
      <c r="C60" s="19">
        <v>4</v>
      </c>
      <c r="D60" s="19">
        <v>0.79</v>
      </c>
      <c r="F60" s="24"/>
      <c r="G60" s="24"/>
      <c r="H60" s="24"/>
      <c r="I60" s="24"/>
    </row>
    <row r="61" spans="1:9" ht="12.75" customHeight="1">
      <c r="A61" s="19"/>
      <c r="B61" s="19"/>
      <c r="C61" s="19"/>
      <c r="D61" s="19"/>
      <c r="F61" s="24"/>
      <c r="G61" s="24"/>
      <c r="H61" s="24"/>
      <c r="I61" s="24"/>
    </row>
    <row r="62" spans="1:9" ht="12.75" customHeight="1">
      <c r="A62" s="19"/>
      <c r="B62" s="19"/>
      <c r="C62" s="19"/>
      <c r="D62" s="19"/>
      <c r="F62" s="24"/>
      <c r="G62" s="24"/>
      <c r="H62" s="24"/>
      <c r="I62" s="24"/>
    </row>
    <row r="63" spans="1:9" ht="12.75" customHeight="1">
      <c r="A63" s="19"/>
      <c r="B63" s="19"/>
      <c r="C63" s="19"/>
      <c r="D63" s="19"/>
      <c r="F63" s="24"/>
      <c r="G63" s="24"/>
      <c r="H63" s="24"/>
      <c r="I63" s="24"/>
    </row>
    <row r="64" spans="1:9" ht="80.099999999999994" customHeight="1">
      <c r="A64" s="303" t="s">
        <v>368</v>
      </c>
      <c r="B64" s="303"/>
      <c r="C64" s="303"/>
      <c r="D64" s="303"/>
    </row>
    <row r="65" spans="1:11" ht="12.75" customHeight="1"/>
    <row r="66" spans="1:11" ht="20.100000000000001" customHeight="1">
      <c r="A66" s="25" t="s">
        <v>369</v>
      </c>
      <c r="B66" s="26" t="s">
        <v>370</v>
      </c>
      <c r="C66" s="26" t="s">
        <v>371</v>
      </c>
      <c r="D66" s="26" t="s">
        <v>372</v>
      </c>
      <c r="E66" s="26" t="s">
        <v>373</v>
      </c>
      <c r="F66" s="26" t="s">
        <v>374</v>
      </c>
    </row>
    <row r="67" spans="1:11" ht="12.75" customHeight="1">
      <c r="A67" s="19"/>
      <c r="B67" s="19" t="s">
        <v>93</v>
      </c>
      <c r="C67" s="19" t="s">
        <v>31</v>
      </c>
      <c r="D67" s="19" t="s">
        <v>36</v>
      </c>
      <c r="E67" s="19" t="s">
        <v>360</v>
      </c>
      <c r="F67" s="19" t="s">
        <v>94</v>
      </c>
    </row>
    <row r="68" spans="1:11" ht="12.75" customHeight="1">
      <c r="A68" s="19" t="s">
        <v>359</v>
      </c>
      <c r="B68" s="19">
        <v>90</v>
      </c>
      <c r="C68" s="19">
        <v>120</v>
      </c>
      <c r="D68" s="19">
        <v>120</v>
      </c>
      <c r="E68" s="19">
        <v>160</v>
      </c>
      <c r="F68" s="19">
        <v>160</v>
      </c>
    </row>
    <row r="69" spans="1:11" ht="12.75" customHeight="1">
      <c r="A69" s="19" t="s">
        <v>361</v>
      </c>
      <c r="B69" s="19">
        <v>95</v>
      </c>
      <c r="C69" s="27">
        <v>140</v>
      </c>
      <c r="D69" s="19" t="s">
        <v>92</v>
      </c>
      <c r="E69" s="19" t="s">
        <v>92</v>
      </c>
      <c r="F69" s="19" t="s">
        <v>92</v>
      </c>
    </row>
    <row r="70" spans="1:11" ht="12.75" customHeight="1">
      <c r="A70" s="19"/>
      <c r="B70" s="19"/>
      <c r="C70" s="19"/>
      <c r="D70" s="19"/>
      <c r="E70" s="19"/>
      <c r="F70" s="19"/>
    </row>
    <row r="71" spans="1:11" ht="12.75" customHeight="1">
      <c r="A71" s="19"/>
      <c r="B71" s="19"/>
      <c r="C71" s="19"/>
      <c r="D71" s="19"/>
      <c r="E71" s="19"/>
      <c r="F71" s="19"/>
    </row>
    <row r="72" spans="1:11" ht="12.75" customHeight="1"/>
    <row r="73" spans="1:11" ht="20.100000000000001" customHeight="1">
      <c r="A73" s="28" t="s">
        <v>375</v>
      </c>
      <c r="B73" s="24"/>
      <c r="C73" s="24"/>
      <c r="D73" s="24"/>
      <c r="E73" s="24"/>
    </row>
    <row r="74" spans="1:11" ht="24.6" customHeight="1">
      <c r="A74" s="19"/>
      <c r="B74" s="19"/>
      <c r="C74" s="19"/>
      <c r="D74" s="19" t="s">
        <v>356</v>
      </c>
      <c r="E74" s="19" t="s">
        <v>357</v>
      </c>
      <c r="G74" s="13" t="s">
        <v>376</v>
      </c>
      <c r="H74" s="29"/>
      <c r="I74" s="41" t="s">
        <v>377</v>
      </c>
      <c r="J74" s="41" t="s">
        <v>378</v>
      </c>
      <c r="K74" s="42" t="s">
        <v>379</v>
      </c>
    </row>
    <row r="75" spans="1:11" ht="12.75" customHeight="1">
      <c r="A75" s="304" t="s">
        <v>358</v>
      </c>
      <c r="B75" s="304" t="s">
        <v>359</v>
      </c>
      <c r="C75" s="19" t="s">
        <v>93</v>
      </c>
      <c r="D75" s="19">
        <v>140</v>
      </c>
      <c r="E75" s="20">
        <f>D75-80</f>
        <v>60</v>
      </c>
      <c r="G75" s="301" t="s">
        <v>380</v>
      </c>
      <c r="H75" s="19" t="s">
        <v>93</v>
      </c>
      <c r="I75" s="13">
        <v>75</v>
      </c>
      <c r="J75" s="13">
        <v>75</v>
      </c>
      <c r="K75" s="19">
        <v>60</v>
      </c>
    </row>
    <row r="76" spans="1:11" ht="12.75" customHeight="1">
      <c r="A76" s="305"/>
      <c r="B76" s="305"/>
      <c r="C76" s="19" t="s">
        <v>31</v>
      </c>
      <c r="D76" s="19">
        <v>176</v>
      </c>
      <c r="E76" s="20">
        <f t="shared" ref="E76:E79" si="1">D76-80</f>
        <v>96</v>
      </c>
      <c r="G76" s="301"/>
      <c r="H76" s="19" t="s">
        <v>31</v>
      </c>
      <c r="I76" s="13">
        <v>92</v>
      </c>
      <c r="J76" s="13">
        <v>140</v>
      </c>
      <c r="K76" s="19">
        <v>96</v>
      </c>
    </row>
    <row r="77" spans="1:11" ht="12.75" customHeight="1">
      <c r="A77" s="305"/>
      <c r="B77" s="305"/>
      <c r="C77" s="19" t="s">
        <v>36</v>
      </c>
      <c r="D77" s="19">
        <v>176</v>
      </c>
      <c r="E77" s="20">
        <f t="shared" si="1"/>
        <v>96</v>
      </c>
      <c r="G77" s="301"/>
      <c r="H77" s="19" t="s">
        <v>36</v>
      </c>
      <c r="I77" s="13">
        <v>107</v>
      </c>
      <c r="J77" s="13">
        <v>107</v>
      </c>
      <c r="K77" s="19">
        <v>96</v>
      </c>
    </row>
    <row r="78" spans="1:11" ht="12.75" customHeight="1">
      <c r="A78" s="305"/>
      <c r="B78" s="305"/>
      <c r="C78" s="19" t="s">
        <v>360</v>
      </c>
      <c r="D78" s="19">
        <v>212</v>
      </c>
      <c r="E78" s="20">
        <f t="shared" si="1"/>
        <v>132</v>
      </c>
      <c r="G78" s="301"/>
      <c r="H78" s="19" t="s">
        <v>360</v>
      </c>
      <c r="I78" s="13">
        <v>107</v>
      </c>
      <c r="J78" s="13">
        <v>185</v>
      </c>
      <c r="K78" s="19">
        <v>132</v>
      </c>
    </row>
    <row r="79" spans="1:11" ht="12.75" customHeight="1">
      <c r="A79" s="305"/>
      <c r="B79" s="305"/>
      <c r="C79" s="19" t="s">
        <v>94</v>
      </c>
      <c r="D79" s="19">
        <v>212</v>
      </c>
      <c r="E79" s="20">
        <f t="shared" si="1"/>
        <v>132</v>
      </c>
      <c r="G79" s="301"/>
      <c r="H79" s="19" t="s">
        <v>94</v>
      </c>
      <c r="I79" s="13">
        <v>125</v>
      </c>
      <c r="J79" s="13">
        <v>125</v>
      </c>
      <c r="K79" s="19">
        <v>132</v>
      </c>
    </row>
    <row r="80" spans="1:11" ht="12.75" customHeight="1">
      <c r="A80" s="305"/>
      <c r="B80" s="306"/>
      <c r="C80" s="19" t="s">
        <v>92</v>
      </c>
      <c r="D80" s="19" t="s">
        <v>92</v>
      </c>
      <c r="E80" s="19" t="s">
        <v>92</v>
      </c>
      <c r="G80" s="301"/>
      <c r="H80" s="13" t="s">
        <v>92</v>
      </c>
      <c r="I80" s="13" t="s">
        <v>92</v>
      </c>
      <c r="J80" s="13" t="s">
        <v>92</v>
      </c>
      <c r="K80" s="13" t="s">
        <v>92</v>
      </c>
    </row>
    <row r="81" spans="1:11" ht="12.75" customHeight="1">
      <c r="A81" s="304" t="s">
        <v>358</v>
      </c>
      <c r="B81" s="304" t="s">
        <v>361</v>
      </c>
      <c r="C81" s="19" t="s">
        <v>93</v>
      </c>
      <c r="D81" s="19">
        <v>155</v>
      </c>
      <c r="E81" s="20">
        <f>D81-80</f>
        <v>75</v>
      </c>
      <c r="G81" s="301" t="s">
        <v>361</v>
      </c>
      <c r="H81" s="19" t="s">
        <v>93</v>
      </c>
      <c r="I81" s="20">
        <f>IF('轿厢&gt;井道'!$B$19&lt;=700,70,60)</f>
        <v>60</v>
      </c>
      <c r="J81" s="20">
        <f>IF('轿厢&gt;井道'!$B$19&lt;=700,70,60)</f>
        <v>60</v>
      </c>
      <c r="K81" s="13">
        <v>75</v>
      </c>
    </row>
    <row r="82" spans="1:11" ht="12.75" customHeight="1">
      <c r="A82" s="305"/>
      <c r="B82" s="305"/>
      <c r="C82" s="19" t="s">
        <v>31</v>
      </c>
      <c r="D82" s="19">
        <v>140</v>
      </c>
      <c r="E82" s="20">
        <f>D82-50</f>
        <v>90</v>
      </c>
      <c r="G82" s="301"/>
      <c r="H82" s="19" t="s">
        <v>31</v>
      </c>
      <c r="I82" s="13">
        <v>73</v>
      </c>
      <c r="J82" s="13">
        <v>100</v>
      </c>
      <c r="K82" s="13">
        <v>90</v>
      </c>
    </row>
    <row r="83" spans="1:11" ht="12.75" customHeight="1">
      <c r="A83" s="305"/>
      <c r="B83" s="306"/>
      <c r="C83" s="19" t="s">
        <v>92</v>
      </c>
      <c r="D83" s="19" t="s">
        <v>92</v>
      </c>
      <c r="E83" s="19" t="s">
        <v>92</v>
      </c>
      <c r="G83" s="301"/>
      <c r="H83" s="13" t="s">
        <v>92</v>
      </c>
      <c r="I83" s="13" t="s">
        <v>92</v>
      </c>
      <c r="J83" s="13" t="s">
        <v>92</v>
      </c>
      <c r="K83" s="13" t="s">
        <v>92</v>
      </c>
    </row>
    <row r="84" spans="1:11" ht="12.75" customHeight="1">
      <c r="A84" s="305"/>
      <c r="B84" s="304"/>
      <c r="C84" s="19"/>
      <c r="D84" s="19"/>
      <c r="E84" s="19"/>
      <c r="G84" s="14" t="s">
        <v>381</v>
      </c>
    </row>
    <row r="85" spans="1:11" ht="12.75" customHeight="1">
      <c r="A85" s="305"/>
      <c r="B85" s="305"/>
      <c r="C85" s="19"/>
      <c r="D85" s="19"/>
      <c r="E85" s="19"/>
    </row>
    <row r="86" spans="1:11" ht="12.75" customHeight="1">
      <c r="A86" s="305"/>
      <c r="B86" s="306"/>
      <c r="C86" s="19"/>
      <c r="D86" s="19"/>
      <c r="E86" s="19"/>
    </row>
    <row r="87" spans="1:11" ht="12.75" customHeight="1">
      <c r="A87" s="304"/>
      <c r="B87" s="304"/>
      <c r="C87" s="19"/>
      <c r="D87" s="19"/>
      <c r="E87" s="19"/>
    </row>
    <row r="88" spans="1:11" ht="12.75" customHeight="1">
      <c r="A88" s="305"/>
      <c r="B88" s="305"/>
      <c r="C88" s="19"/>
      <c r="D88" s="19"/>
      <c r="E88" s="19"/>
    </row>
    <row r="89" spans="1:11" ht="12.75" customHeight="1">
      <c r="A89" s="305"/>
      <c r="B89" s="306"/>
      <c r="C89" s="19"/>
      <c r="D89" s="19"/>
      <c r="E89" s="19"/>
    </row>
    <row r="90" spans="1:11" ht="12.75" customHeight="1">
      <c r="A90" s="305"/>
      <c r="B90" s="304"/>
      <c r="C90" s="19"/>
      <c r="D90" s="19"/>
      <c r="E90" s="19"/>
    </row>
    <row r="91" spans="1:11" ht="12.75" customHeight="1">
      <c r="A91" s="305"/>
      <c r="B91" s="305"/>
      <c r="C91" s="19"/>
      <c r="D91" s="19"/>
      <c r="E91" s="19"/>
    </row>
    <row r="92" spans="1:11" ht="12.75" customHeight="1">
      <c r="A92" s="306"/>
      <c r="B92" s="306"/>
      <c r="C92" s="19"/>
      <c r="D92" s="19"/>
      <c r="E92" s="19"/>
    </row>
    <row r="93" spans="1:11" ht="12.75" customHeight="1">
      <c r="A93" s="24"/>
      <c r="B93" s="24"/>
      <c r="C93" s="24"/>
      <c r="D93" s="24"/>
      <c r="E93" s="24"/>
    </row>
    <row r="94" spans="1:11" ht="20.100000000000001" customHeight="1">
      <c r="A94" s="15" t="s">
        <v>382</v>
      </c>
      <c r="B94" s="18"/>
      <c r="C94" s="18"/>
      <c r="D94" s="24"/>
      <c r="E94" s="24"/>
      <c r="F94" s="24"/>
    </row>
    <row r="95" spans="1:11" ht="12.75" customHeight="1">
      <c r="A95" s="19"/>
      <c r="B95" s="19" t="s">
        <v>91</v>
      </c>
      <c r="C95" s="19" t="s">
        <v>105</v>
      </c>
      <c r="D95" s="19" t="s">
        <v>11</v>
      </c>
      <c r="E95" s="19" t="s">
        <v>106</v>
      </c>
      <c r="F95" s="19" t="s">
        <v>87</v>
      </c>
      <c r="G95" s="19" t="s">
        <v>107</v>
      </c>
      <c r="H95" s="19" t="s">
        <v>108</v>
      </c>
    </row>
    <row r="96" spans="1:11" ht="12.75" customHeight="1">
      <c r="A96" s="19" t="s">
        <v>383</v>
      </c>
      <c r="B96" s="30">
        <f>62+IF('轿厢&gt;井道'!$B$22&lt;=2000,63,IF('轿厢&gt;井道'!$B$22&lt;=3000,75,IF('轿厢&gt;井道'!$B$22&lt;=5000,100,"###")))+70</f>
        <v>207</v>
      </c>
      <c r="C96" s="19" t="s">
        <v>92</v>
      </c>
      <c r="D96" s="30">
        <f>62+IF('轿厢&gt;井道'!$B$22&lt;=2000,63,IF('轿厢&gt;井道'!$B$22&lt;=3000,75,IF('轿厢&gt;井道'!$B$22&lt;=5000,100,"###")))+70</f>
        <v>207</v>
      </c>
      <c r="E96" s="13" t="s">
        <v>92</v>
      </c>
      <c r="F96" s="31" t="e">
        <f>62+IF('轿厢&gt;井道'!$B$22&lt;=2000,63,"###")+65</f>
        <v>#VALUE!</v>
      </c>
      <c r="G96" s="31" t="e">
        <f>62+IF('轿厢&gt;井道'!$B$22&lt;=2000,63,"###")+65</f>
        <v>#VALUE!</v>
      </c>
      <c r="H96" s="31" t="e">
        <f>62+IF('轿厢&gt;井道'!$B$22&lt;=2000,63,"###")+65</f>
        <v>#VALUE!</v>
      </c>
    </row>
    <row r="97" spans="1:14" ht="12.75" customHeight="1">
      <c r="A97" s="32" t="s">
        <v>384</v>
      </c>
      <c r="B97" s="30">
        <f>62+IF('轿厢&gt;井道'!$B$22&lt;=2000,63,IF('轿厢&gt;井道'!$B$22&lt;=3000,75,IF('轿厢&gt;井道'!$B$22&lt;=5000,100,"###")))</f>
        <v>137</v>
      </c>
      <c r="C97" s="19">
        <v>475</v>
      </c>
      <c r="D97" s="30">
        <f>62+IF('轿厢&gt;井道'!$B$22&lt;=2000,63,IF('轿厢&gt;井道'!$B$22&lt;=3000,75,IF('轿厢&gt;井道'!$B$22&lt;=5000,100,"###")))</f>
        <v>137</v>
      </c>
      <c r="E97" s="19">
        <v>475</v>
      </c>
      <c r="F97" s="19">
        <v>125</v>
      </c>
      <c r="G97" s="19">
        <v>125</v>
      </c>
      <c r="H97" s="19">
        <v>125</v>
      </c>
    </row>
    <row r="98" spans="1:14" ht="12.75" customHeight="1">
      <c r="A98" s="14" t="s">
        <v>385</v>
      </c>
    </row>
    <row r="99" spans="1:14" ht="12.75" customHeight="1"/>
    <row r="100" spans="1:14" ht="20.100000000000001" customHeight="1">
      <c r="A100" s="33" t="s">
        <v>386</v>
      </c>
      <c r="H100" s="33"/>
    </row>
    <row r="101" spans="1:14" ht="20.100000000000001" customHeight="1">
      <c r="A101" s="15" t="s">
        <v>387</v>
      </c>
      <c r="B101" s="18"/>
      <c r="C101" s="18"/>
      <c r="D101" s="24"/>
      <c r="E101" s="24"/>
      <c r="F101" s="24"/>
      <c r="G101" s="24"/>
      <c r="H101" s="24"/>
      <c r="I101" s="18"/>
      <c r="J101" s="18"/>
      <c r="K101" s="18"/>
      <c r="L101" s="24"/>
      <c r="M101" s="24"/>
      <c r="N101" s="24"/>
    </row>
    <row r="102" spans="1:14" ht="12.75" customHeight="1">
      <c r="A102" s="19"/>
      <c r="B102" s="19" t="s">
        <v>91</v>
      </c>
      <c r="C102" s="19" t="s">
        <v>105</v>
      </c>
      <c r="D102" s="19" t="s">
        <v>11</v>
      </c>
      <c r="E102" s="19" t="s">
        <v>106</v>
      </c>
      <c r="F102" s="19" t="s">
        <v>87</v>
      </c>
      <c r="G102" s="19" t="s">
        <v>107</v>
      </c>
      <c r="H102" s="19" t="s">
        <v>108</v>
      </c>
      <c r="I102" s="24"/>
      <c r="J102" s="24"/>
      <c r="K102" s="24"/>
      <c r="L102" s="24"/>
      <c r="M102" s="24"/>
      <c r="N102" s="24"/>
    </row>
    <row r="103" spans="1:14" ht="12.75" customHeight="1">
      <c r="A103" s="19" t="s">
        <v>388</v>
      </c>
      <c r="B103" s="31">
        <f>IF('轿厢&gt;井道'!$B$22&lt;=2000,245,IF('轿厢&gt;井道'!$B$22&lt;=3000,285,IF('轿厢&gt;井道'!$B$22&lt;=5000,355,"###")))+15</f>
        <v>300</v>
      </c>
      <c r="C103" s="19">
        <v>370</v>
      </c>
      <c r="D103" s="31">
        <f>IF('轿厢&gt;井道'!$B$22&lt;=2000,285,IF('轿厢&gt;井道'!$B$22&lt;=3000,305,IF('轿厢&gt;井道'!$B$22&lt;=5000,435,"###")))+15</f>
        <v>320</v>
      </c>
      <c r="E103" s="13">
        <v>450</v>
      </c>
      <c r="F103" s="31" t="str">
        <f>IF('轿厢&gt;井道'!$B$25="GOST 33984.1",IF('轿厢&gt;井道'!$B$22&lt;=1050,170,IF('轿厢&gt;井道'!$B$22&lt;=1600,190,205)),IF('轿厢&gt;井道'!$B$22&lt;=1600,190,IF('轿厢&gt;井道'!$B$22&lt;=2000,205,"###")))</f>
        <v>###</v>
      </c>
      <c r="G103" s="31" t="str">
        <f>IF('轿厢&gt;井道'!$B$22&lt;=1050,IF('轿厢&gt;井道'!$B$25="GOST 33984.1",170,215),IF('轿厢&gt;井道'!$B$22&lt;=1600,215,IF('轿厢&gt;井道'!$B$22&lt;=2000,230,"###")))</f>
        <v>###</v>
      </c>
      <c r="H103" s="31" t="str">
        <f>IF('轿厢&gt;井道'!$B$22&lt;=1600,240,IF('轿厢&gt;井道'!$B$22&lt;=2000,275,"###"))</f>
        <v>###</v>
      </c>
      <c r="I103" s="24"/>
      <c r="J103" s="24"/>
      <c r="K103" s="24"/>
      <c r="L103" s="24"/>
      <c r="M103" s="24"/>
      <c r="N103" s="24"/>
    </row>
    <row r="104" spans="1:14" ht="12.75" customHeight="1">
      <c r="A104" s="19" t="s">
        <v>389</v>
      </c>
      <c r="B104" s="31">
        <f>IF('轿厢&gt;井道'!$B$22&lt;=2000,570,IF('轿厢&gt;井道'!$B$22&lt;=3000,610,IF('轿厢&gt;井道'!$B$22&lt;=5000,725,"###")))+15</f>
        <v>625</v>
      </c>
      <c r="C104" s="19">
        <v>760</v>
      </c>
      <c r="D104" s="31">
        <f>IF('轿厢&gt;井道'!$B$22&lt;=2000,1050-D103,IF('轿厢&gt;井道'!$B$22&lt;=3000,1200-D103,IF('轿厢&gt;井道'!$B$22&lt;=5000,1450-D103,"###")))</f>
        <v>880</v>
      </c>
      <c r="E104" s="13">
        <v>1000</v>
      </c>
      <c r="F104" s="31" t="str">
        <f>IF('轿厢&gt;井道'!$B$25="GOST 33984.1",IF('轿厢&gt;井道'!$B$22&lt;=1050,380,IF('轿厢&gt;井道'!$B$22&lt;=1600,460,"###")),IF('轿厢&gt;井道'!$B$22&lt;=1050,410,IF('轿厢&gt;井道'!$B$22&lt;=1250,460,IF('轿厢&gt;井道'!$B$22&lt;=1600,490,IF('轿厢&gt;井道'!$B$22&lt;=2000,555,"###")))))</f>
        <v>###</v>
      </c>
      <c r="G104" s="31" t="str">
        <f>IF('轿厢&gt;井道'!$B$22&lt;=1050,IF('轿厢&gt;井道'!$B$25="GOST 33984.1",380,410),IF('轿厢&gt;井道'!$B$22&lt;=1150,460,IF('轿厢&gt;井道'!$B$22&lt;=1600,490,IF('轿厢&gt;井道'!$B$22&lt;=2000,555,"###"))))</f>
        <v>###</v>
      </c>
      <c r="H104" s="31" t="str">
        <f>IF('轿厢&gt;井道'!$B$22&lt;=1350,540,IF('轿厢&gt;井道'!$B$22&lt;=1600,590,IF('轿厢&gt;井道'!$B$22&lt;=2000,625,"###")))</f>
        <v>###</v>
      </c>
      <c r="I104" s="24"/>
      <c r="J104" s="24"/>
      <c r="K104" s="24"/>
      <c r="L104" s="24"/>
      <c r="M104" s="24"/>
      <c r="N104" s="24"/>
    </row>
    <row r="105" spans="1:14" ht="12.75" customHeight="1">
      <c r="A105" s="19" t="s">
        <v>390</v>
      </c>
      <c r="B105" s="31" t="s">
        <v>92</v>
      </c>
      <c r="C105" s="19" t="s">
        <v>92</v>
      </c>
      <c r="D105" s="19" t="s">
        <v>92</v>
      </c>
      <c r="E105" s="19" t="s">
        <v>92</v>
      </c>
      <c r="F105" s="31" t="e">
        <f>IF('轿厢&gt;井道'!$B$25="GOST 33984.1",IF('轿厢&gt;井道'!$B$22&lt;=1050,550,IF('轿厢&gt;井道'!$B$22&lt;=1600,610,"###")),IF('轿厢&gt;井道'!$B$22&lt;=1050,550,IF('轿厢&gt;井道'!$B$22&lt;=1600,650,"###")))-260</f>
        <v>#VALUE!</v>
      </c>
      <c r="G105" s="19" t="s">
        <v>92</v>
      </c>
      <c r="H105" s="31">
        <f>IF('轿厢&gt;井道'!$B$13&lt;2,IF('轿厢&gt;井道'!$B$22&lt;=630,600,640),IF('轿厢&gt;井道'!$B$13&lt;=2.5,710,"###"))-260</f>
        <v>380</v>
      </c>
      <c r="I105" s="24"/>
      <c r="J105" s="24"/>
      <c r="K105" s="24"/>
      <c r="L105" s="24"/>
      <c r="M105" s="24"/>
      <c r="N105" s="24"/>
    </row>
    <row r="106" spans="1:14" ht="12.75" customHeight="1">
      <c r="A106" s="19" t="s">
        <v>391</v>
      </c>
      <c r="B106" s="19">
        <v>85</v>
      </c>
      <c r="C106" s="19">
        <v>165</v>
      </c>
      <c r="D106" s="19">
        <v>85</v>
      </c>
      <c r="E106" s="19">
        <v>165</v>
      </c>
      <c r="F106" s="19">
        <v>85</v>
      </c>
      <c r="G106" s="19">
        <v>85</v>
      </c>
      <c r="H106" s="19">
        <v>85</v>
      </c>
      <c r="I106" s="24"/>
      <c r="J106" s="24"/>
      <c r="K106" s="24"/>
      <c r="L106" s="43"/>
      <c r="M106" s="24"/>
      <c r="N106" s="24"/>
    </row>
    <row r="107" spans="1:14" ht="12.75" customHeight="1">
      <c r="A107" s="14" t="s">
        <v>392</v>
      </c>
      <c r="B107" s="24"/>
      <c r="C107" s="24"/>
      <c r="D107" s="24"/>
      <c r="E107" s="24"/>
      <c r="F107" s="24"/>
      <c r="H107" s="34"/>
      <c r="I107" s="24"/>
      <c r="J107" s="24"/>
      <c r="K107" s="24"/>
      <c r="L107" s="24"/>
      <c r="M107" s="24"/>
      <c r="N107" s="24"/>
    </row>
    <row r="108" spans="1:14" ht="12.75" customHeight="1">
      <c r="A108" s="15" t="s">
        <v>393</v>
      </c>
      <c r="B108" s="24"/>
      <c r="C108" s="24"/>
      <c r="D108" s="24"/>
      <c r="E108" s="24"/>
      <c r="F108" s="24"/>
      <c r="H108" s="34"/>
      <c r="I108" s="24"/>
      <c r="J108" s="24"/>
      <c r="K108" s="24"/>
      <c r="L108" s="24"/>
      <c r="M108" s="24"/>
      <c r="N108" s="24"/>
    </row>
    <row r="109" spans="1:14" ht="22.7" customHeight="1">
      <c r="A109" s="35" t="s">
        <v>394</v>
      </c>
      <c r="B109" s="36" t="s">
        <v>395</v>
      </c>
      <c r="C109" s="36" t="s">
        <v>396</v>
      </c>
      <c r="D109" s="24"/>
      <c r="E109" s="24"/>
      <c r="F109" s="24"/>
      <c r="H109" s="34"/>
      <c r="I109" s="24"/>
      <c r="J109" s="24"/>
      <c r="K109" s="24"/>
      <c r="L109" s="24"/>
      <c r="M109" s="24"/>
      <c r="N109" s="24"/>
    </row>
    <row r="110" spans="1:14" ht="12.75" customHeight="1">
      <c r="A110" s="37">
        <f>IF(OR('轿厢&gt;井道'!B18="S3",'轿厢&gt;井道'!B18="C6"),20,40)</f>
        <v>40</v>
      </c>
      <c r="B110" s="19">
        <v>100</v>
      </c>
      <c r="C110" s="19">
        <v>65</v>
      </c>
      <c r="D110" s="34" t="s">
        <v>397</v>
      </c>
      <c r="E110" s="24"/>
      <c r="F110" s="24"/>
      <c r="H110" s="34"/>
      <c r="I110" s="24"/>
      <c r="J110" s="24"/>
      <c r="K110" s="24"/>
      <c r="L110" s="24"/>
      <c r="M110" s="24"/>
      <c r="N110" s="24"/>
    </row>
    <row r="111" spans="1:14" ht="12.75" customHeight="1">
      <c r="A111" s="34"/>
      <c r="B111" s="24"/>
      <c r="C111" s="24"/>
      <c r="D111" s="24"/>
      <c r="E111" s="24"/>
      <c r="F111" s="24"/>
      <c r="H111" s="34"/>
      <c r="I111" s="24"/>
      <c r="J111" s="24"/>
      <c r="K111" s="24"/>
      <c r="L111" s="24"/>
      <c r="M111" s="24"/>
      <c r="N111" s="24"/>
    </row>
    <row r="112" spans="1:14" ht="12.75" customHeight="1">
      <c r="A112" s="34"/>
      <c r="B112" s="24"/>
      <c r="C112" s="24"/>
      <c r="D112" s="24"/>
      <c r="E112" s="24"/>
      <c r="F112" s="24"/>
      <c r="H112" s="34"/>
      <c r="I112" s="24"/>
      <c r="J112" s="24"/>
      <c r="K112" s="24"/>
      <c r="L112" s="24"/>
      <c r="M112" s="24"/>
      <c r="N112" s="24"/>
    </row>
    <row r="113" spans="1:9" ht="12.75" customHeight="1">
      <c r="A113" s="15" t="s">
        <v>398</v>
      </c>
    </row>
    <row r="114" spans="1:9" ht="12.75" customHeight="1">
      <c r="A114" s="19"/>
      <c r="B114" s="19"/>
      <c r="C114" s="19" t="s">
        <v>91</v>
      </c>
      <c r="D114" s="19" t="s">
        <v>105</v>
      </c>
      <c r="E114" s="19" t="s">
        <v>11</v>
      </c>
      <c r="F114" s="19" t="s">
        <v>106</v>
      </c>
      <c r="G114" s="19" t="s">
        <v>87</v>
      </c>
      <c r="H114" s="19" t="s">
        <v>107</v>
      </c>
      <c r="I114" s="19" t="s">
        <v>108</v>
      </c>
    </row>
    <row r="115" spans="1:9" ht="12.75" customHeight="1">
      <c r="A115" s="304" t="s">
        <v>399</v>
      </c>
      <c r="B115" s="19" t="s">
        <v>400</v>
      </c>
      <c r="C115" s="37">
        <f>IF('轿厢&gt;井道'!$B$22&lt;=2000,1400,IF('轿厢&gt;井道'!$B$22&lt;=3000,1800,IF('轿厢&gt;井道'!$B$22&lt;=5000,2000,"###")))</f>
        <v>1800</v>
      </c>
      <c r="D115" s="19">
        <v>2000</v>
      </c>
      <c r="E115" s="37">
        <f>IF('轿厢&gt;井道'!$B$22&lt;=2000,1400,IF('轿厢&gt;井道'!$B$22&lt;=3000,1800,IF('轿厢&gt;井道'!$B$22&lt;=5000,2000,"###")))</f>
        <v>1800</v>
      </c>
      <c r="F115" s="19">
        <v>2000</v>
      </c>
      <c r="G115" s="20" t="str">
        <f>IF('轿厢&gt;井道'!$B$22&lt;=800,900,IF('轿厢&gt;井道'!$B$22&lt;=1050,1000,IF('轿厢&gt;井道'!$B$22&lt;=1250,1100,IF('轿厢&gt;井道'!$B$22&lt;=1350,1200,IF('轿厢&gt;井道'!$B$22&lt;=1600,1300,IF('轿厢&gt;井道'!$B$22&lt;=2000,1400,"###"))))))</f>
        <v>###</v>
      </c>
      <c r="H115" s="20" t="str">
        <f>IF('轿厢&gt;井道'!$B$22&lt;=800,900,IF('轿厢&gt;井道'!$B$22&lt;=1050,1000,IF('轿厢&gt;井道'!$B$22&lt;=1250,1100,IF('轿厢&gt;井道'!$B$22&lt;=1350,1200,IF('轿厢&gt;井道'!$B$22&lt;=1600,1300,IF('轿厢&gt;井道'!$B$22&lt;=2000,1400,"###"))))))</f>
        <v>###</v>
      </c>
      <c r="I115" s="19">
        <v>900</v>
      </c>
    </row>
    <row r="116" spans="1:9" ht="12.75" customHeight="1">
      <c r="A116" s="306"/>
      <c r="B116" s="19" t="s">
        <v>401</v>
      </c>
      <c r="C116" s="19" t="s">
        <v>92</v>
      </c>
      <c r="D116" s="19" t="s">
        <v>92</v>
      </c>
      <c r="E116" s="19" t="s">
        <v>92</v>
      </c>
      <c r="F116" s="19" t="s">
        <v>92</v>
      </c>
      <c r="G116" s="38">
        <v>2200</v>
      </c>
      <c r="H116" s="38">
        <v>2200</v>
      </c>
      <c r="I116" s="38">
        <v>2200</v>
      </c>
    </row>
    <row r="117" spans="1:9" ht="12.75" customHeight="1">
      <c r="A117" s="304" t="s">
        <v>402</v>
      </c>
      <c r="B117" s="19" t="s">
        <v>400</v>
      </c>
      <c r="C117" s="38">
        <v>1500</v>
      </c>
      <c r="D117" s="37">
        <f>IF('轿厢&gt;井道'!B22&lt;=3000,4000,5900)</f>
        <v>4000</v>
      </c>
      <c r="E117" s="38">
        <v>1600</v>
      </c>
      <c r="F117" s="19">
        <v>4000</v>
      </c>
      <c r="G117" s="39">
        <f>IF('轿厢&gt;井道'!$B$22&lt;630,1000,1100)</f>
        <v>1100</v>
      </c>
      <c r="H117" s="39">
        <f>IF('轿厢&gt;井道'!$B$22&lt;630,1000,1100)</f>
        <v>1100</v>
      </c>
      <c r="I117" s="19">
        <v>900</v>
      </c>
    </row>
    <row r="118" spans="1:9" ht="12.75" customHeight="1">
      <c r="A118" s="306"/>
      <c r="B118" s="19" t="s">
        <v>401</v>
      </c>
      <c r="C118" s="19" t="s">
        <v>92</v>
      </c>
      <c r="D118" s="19" t="s">
        <v>92</v>
      </c>
      <c r="E118" s="19" t="s">
        <v>92</v>
      </c>
      <c r="F118" s="19" t="s">
        <v>92</v>
      </c>
      <c r="G118" s="38">
        <v>2600</v>
      </c>
      <c r="H118" s="38">
        <v>2600</v>
      </c>
      <c r="I118" s="38">
        <v>2600</v>
      </c>
    </row>
    <row r="119" spans="1:9" ht="12.75" customHeight="1"/>
    <row r="120" spans="1:9" ht="12.75" customHeight="1">
      <c r="A120" s="15" t="s">
        <v>403</v>
      </c>
    </row>
    <row r="121" spans="1:9" ht="12.75" customHeight="1">
      <c r="A121" s="19" t="s">
        <v>103</v>
      </c>
      <c r="B121" s="19" t="s">
        <v>404</v>
      </c>
      <c r="C121" s="19" t="s">
        <v>405</v>
      </c>
      <c r="D121" s="19" t="s">
        <v>406</v>
      </c>
    </row>
    <row r="122" spans="1:9" ht="12.75" customHeight="1">
      <c r="A122" s="19" t="s">
        <v>407</v>
      </c>
      <c r="B122" s="40" t="s">
        <v>408</v>
      </c>
      <c r="C122" s="40">
        <v>40</v>
      </c>
      <c r="D122" s="40">
        <v>40</v>
      </c>
    </row>
    <row r="123" spans="1:9" ht="12.75" customHeight="1">
      <c r="A123" s="19" t="s">
        <v>409</v>
      </c>
      <c r="B123" s="40" t="s">
        <v>408</v>
      </c>
      <c r="C123" s="40">
        <v>40</v>
      </c>
      <c r="D123" s="40">
        <v>40</v>
      </c>
    </row>
    <row r="124" spans="1:9" ht="12.75" customHeight="1">
      <c r="A124" s="304" t="s">
        <v>410</v>
      </c>
      <c r="B124" s="40" t="s">
        <v>411</v>
      </c>
      <c r="C124" s="40">
        <v>100</v>
      </c>
      <c r="D124" s="40">
        <v>60</v>
      </c>
    </row>
    <row r="125" spans="1:9" ht="12.75" customHeight="1">
      <c r="A125" s="306"/>
      <c r="B125" s="40" t="s">
        <v>412</v>
      </c>
      <c r="C125" s="40">
        <v>120</v>
      </c>
      <c r="D125" s="40">
        <v>30</v>
      </c>
    </row>
    <row r="126" spans="1:9" ht="12.75" customHeight="1">
      <c r="A126" s="304" t="s">
        <v>413</v>
      </c>
      <c r="B126" s="40" t="s">
        <v>411</v>
      </c>
      <c r="C126" s="40">
        <v>290</v>
      </c>
      <c r="D126" s="40">
        <v>20</v>
      </c>
    </row>
    <row r="127" spans="1:9" ht="12.75" customHeight="1">
      <c r="A127" s="306"/>
      <c r="B127" s="40" t="s">
        <v>412</v>
      </c>
      <c r="C127" s="40">
        <v>350</v>
      </c>
      <c r="D127" s="40">
        <v>20</v>
      </c>
    </row>
    <row r="128" spans="1:9"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sheetData>
  <mergeCells count="31">
    <mergeCell ref="G75:G80"/>
    <mergeCell ref="G81:G83"/>
    <mergeCell ref="A124:A125"/>
    <mergeCell ref="A126:A127"/>
    <mergeCell ref="B15:B20"/>
    <mergeCell ref="B21:B23"/>
    <mergeCell ref="B24:B26"/>
    <mergeCell ref="B27:B29"/>
    <mergeCell ref="B30:B32"/>
    <mergeCell ref="B75:B80"/>
    <mergeCell ref="B81:B83"/>
    <mergeCell ref="B84:B86"/>
    <mergeCell ref="B87:B89"/>
    <mergeCell ref="B90:B92"/>
    <mergeCell ref="A75:A80"/>
    <mergeCell ref="A81:A86"/>
    <mergeCell ref="A87:A92"/>
    <mergeCell ref="A115:A116"/>
    <mergeCell ref="A117:A118"/>
    <mergeCell ref="B10:C10"/>
    <mergeCell ref="D10:E10"/>
    <mergeCell ref="A64:D64"/>
    <mergeCell ref="A15:A20"/>
    <mergeCell ref="A21:A26"/>
    <mergeCell ref="A27:A32"/>
    <mergeCell ref="B7:C7"/>
    <mergeCell ref="D7:E7"/>
    <mergeCell ref="B8:C8"/>
    <mergeCell ref="D8:E8"/>
    <mergeCell ref="B9:C9"/>
    <mergeCell ref="D9:E9"/>
  </mergeCells>
  <phoneticPr fontId="145" type="noConversion"/>
  <pageMargins left="0.7" right="0.7"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8" tint="0.79995117038483843"/>
  </sheetPr>
  <dimension ref="A1:E13"/>
  <sheetViews>
    <sheetView workbookViewId="0">
      <selection activeCell="B13" sqref="B13"/>
    </sheetView>
  </sheetViews>
  <sheetFormatPr defaultColWidth="8.75" defaultRowHeight="17.25"/>
  <cols>
    <col min="1" max="1" width="15.625" style="3" customWidth="1"/>
    <col min="2" max="2" width="80.625" style="3" customWidth="1"/>
    <col min="3" max="3" width="15.625" style="3" customWidth="1"/>
    <col min="4" max="5" width="10.625" style="3" customWidth="1"/>
    <col min="6" max="16384" width="8.75" style="3"/>
  </cols>
  <sheetData>
    <row r="1" spans="1:5">
      <c r="A1" s="4" t="s">
        <v>414</v>
      </c>
      <c r="B1" s="5" t="s">
        <v>415</v>
      </c>
      <c r="C1" s="6" t="s">
        <v>416</v>
      </c>
      <c r="D1" s="6" t="s">
        <v>417</v>
      </c>
      <c r="E1" s="4" t="s">
        <v>418</v>
      </c>
    </row>
    <row r="2" spans="1:5">
      <c r="A2" s="7" t="s">
        <v>419</v>
      </c>
      <c r="B2" s="8" t="s">
        <v>420</v>
      </c>
      <c r="C2" s="7" t="s">
        <v>421</v>
      </c>
      <c r="D2" s="9">
        <v>41593</v>
      </c>
      <c r="E2" s="10"/>
    </row>
    <row r="3" spans="1:5">
      <c r="A3" s="7" t="s">
        <v>422</v>
      </c>
      <c r="B3" s="8" t="s">
        <v>423</v>
      </c>
      <c r="C3" s="7" t="s">
        <v>424</v>
      </c>
      <c r="D3" s="9">
        <v>45272</v>
      </c>
      <c r="E3" s="10"/>
    </row>
    <row r="4" spans="1:5" ht="62.45" customHeight="1">
      <c r="A4" s="7" t="s">
        <v>425</v>
      </c>
      <c r="B4" s="8" t="s">
        <v>426</v>
      </c>
      <c r="C4" s="7" t="s">
        <v>421</v>
      </c>
      <c r="D4" s="9">
        <v>45490</v>
      </c>
      <c r="E4" s="11"/>
    </row>
    <row r="5" spans="1:5">
      <c r="A5" s="7"/>
      <c r="B5" s="12"/>
      <c r="C5" s="7"/>
      <c r="D5" s="9"/>
      <c r="E5" s="11"/>
    </row>
    <row r="6" spans="1:5">
      <c r="A6" s="7"/>
      <c r="B6" s="12"/>
      <c r="C6" s="7"/>
      <c r="D6" s="9"/>
      <c r="E6" s="11"/>
    </row>
    <row r="7" spans="1:5">
      <c r="A7" s="7"/>
      <c r="B7" s="12"/>
      <c r="C7" s="7"/>
      <c r="D7" s="9"/>
      <c r="E7" s="11"/>
    </row>
    <row r="8" spans="1:5">
      <c r="A8" s="7"/>
      <c r="B8" s="12"/>
      <c r="C8" s="7"/>
      <c r="D8" s="9"/>
      <c r="E8" s="11"/>
    </row>
    <row r="9" spans="1:5">
      <c r="A9" s="7"/>
      <c r="B9" s="12"/>
      <c r="C9" s="13"/>
      <c r="D9" s="9"/>
      <c r="E9" s="11"/>
    </row>
    <row r="10" spans="1:5">
      <c r="A10" s="7"/>
      <c r="B10" s="12"/>
      <c r="C10" s="13"/>
      <c r="D10" s="9"/>
      <c r="E10" s="11"/>
    </row>
    <row r="11" spans="1:5">
      <c r="A11" s="7"/>
      <c r="B11" s="12"/>
      <c r="C11" s="13"/>
      <c r="D11" s="9"/>
      <c r="E11" s="11"/>
    </row>
    <row r="12" spans="1:5">
      <c r="A12" s="7"/>
      <c r="B12" s="12"/>
      <c r="C12" s="13"/>
      <c r="D12" s="9"/>
      <c r="E12" s="11"/>
    </row>
    <row r="13" spans="1:5">
      <c r="A13" s="7"/>
      <c r="B13" s="12"/>
      <c r="C13" s="13"/>
      <c r="D13" s="9"/>
      <c r="E13" s="11"/>
    </row>
  </sheetData>
  <phoneticPr fontId="145"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
  <sheetViews>
    <sheetView workbookViewId="0">
      <selection activeCell="R26" sqref="R26"/>
    </sheetView>
  </sheetViews>
  <sheetFormatPr defaultColWidth="8.125" defaultRowHeight="13.5"/>
  <cols>
    <col min="1" max="16384" width="8.125" style="2"/>
  </cols>
  <sheetData/>
  <phoneticPr fontId="145" type="noConversion"/>
  <pageMargins left="0.75" right="0.75" top="1" bottom="1" header="0.5" footer="0.5"/>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V19"/>
  <sheetViews>
    <sheetView zoomScale="85" zoomScaleNormal="85" workbookViewId="0">
      <selection activeCell="I18" sqref="I18"/>
    </sheetView>
  </sheetViews>
  <sheetFormatPr defaultColWidth="9.125" defaultRowHeight="14.25"/>
  <cols>
    <col min="1" max="16384" width="9.125" style="1"/>
  </cols>
  <sheetData>
    <row r="1" spans="1:22">
      <c r="A1" s="1" t="s">
        <v>427</v>
      </c>
      <c r="B1" s="1" t="s">
        <v>428</v>
      </c>
      <c r="D1" s="1" t="s">
        <v>429</v>
      </c>
      <c r="E1" s="1" t="s">
        <v>430</v>
      </c>
      <c r="G1" s="1" t="s">
        <v>431</v>
      </c>
      <c r="I1" s="1" t="s">
        <v>432</v>
      </c>
    </row>
    <row r="2" spans="1:22">
      <c r="A2" s="1">
        <v>1500</v>
      </c>
      <c r="B2" s="1">
        <v>1900</v>
      </c>
      <c r="D2" s="1">
        <v>1100</v>
      </c>
      <c r="E2" s="1">
        <v>1200</v>
      </c>
      <c r="G2" s="1">
        <v>650</v>
      </c>
    </row>
    <row r="3" spans="1:22">
      <c r="A3" s="1">
        <v>1600</v>
      </c>
      <c r="B3" s="1">
        <v>1600</v>
      </c>
      <c r="D3" s="1">
        <v>1050</v>
      </c>
      <c r="E3" s="1">
        <v>1200</v>
      </c>
      <c r="G3" s="1">
        <v>700</v>
      </c>
      <c r="L3" s="1" t="s">
        <v>433</v>
      </c>
      <c r="V3" s="1" t="s">
        <v>434</v>
      </c>
    </row>
    <row r="4" spans="1:22">
      <c r="L4" s="1" t="s">
        <v>435</v>
      </c>
    </row>
    <row r="5" spans="1:22">
      <c r="L5" s="1" t="s">
        <v>436</v>
      </c>
    </row>
    <row r="9" spans="1:22">
      <c r="K9" s="1" t="s">
        <v>437</v>
      </c>
      <c r="L9" s="1" t="s">
        <v>438</v>
      </c>
    </row>
    <row r="14" spans="1:22">
      <c r="K14" s="1" t="s">
        <v>439</v>
      </c>
      <c r="L14" s="1" t="s">
        <v>440</v>
      </c>
    </row>
    <row r="15" spans="1:22">
      <c r="L15" s="1" t="s">
        <v>441</v>
      </c>
    </row>
    <row r="18" spans="11:12">
      <c r="K18" s="1" t="s">
        <v>442</v>
      </c>
      <c r="L18" s="1" t="s">
        <v>440</v>
      </c>
    </row>
    <row r="19" spans="11:12">
      <c r="L19" s="1" t="s">
        <v>441</v>
      </c>
    </row>
  </sheetData>
  <phoneticPr fontId="145" type="noConversion"/>
  <pageMargins left="0.75" right="0.75" top="1" bottom="1" header="0.51180555555555596" footer="0.51180555555555596"/>
  <pageSetup paperSize="9" orientation="portrait"/>
  <headerFooter scaleWithDoc="0"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 master="" otherUserPermission="visible">
    <arrUserId title="区域1" rangeCreator="" othersAccessPermission="edit"/>
  </rangeList>
  <rangeList sheetStid="20" master="" otherUserPermission="visible"/>
  <rangeList sheetStid="1" master="" otherUserPermission="visible">
    <arrUserId title="区域1" rangeCreator="" othersAccessPermission="edit"/>
  </rangeList>
  <rangeList sheetStid="16" master="" otherUserPermission="visible"/>
  <rangeList sheetStid="17" master="" otherUserPermission="visible"/>
  <rangeList sheetStid="13" master="" otherUserPermission="visible"/>
  <rangeList sheetStid="21" master="" otherUserPermission="visible"/>
  <rangeList sheetStid="2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3</vt:i4>
      </vt:variant>
    </vt:vector>
  </HeadingPairs>
  <TitlesOfParts>
    <vt:vector size="8" baseType="lpstr">
      <vt:lpstr>Home</vt:lpstr>
      <vt:lpstr>Database</vt:lpstr>
      <vt:lpstr>修改记录</vt:lpstr>
      <vt:lpstr>别墅梯</vt:lpstr>
      <vt:lpstr>Sheet1</vt:lpstr>
      <vt:lpstr>lifttype</vt:lpstr>
      <vt:lpstr>Home!Print_Area</vt:lpstr>
      <vt:lpstr>'轿厢&gt;井道'!Print_Area</vt:lpstr>
    </vt:vector>
  </TitlesOfParts>
  <Company>ThyssenKrupp Elevator Co.,Ltd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ePlanning tool</dc:title>
  <dc:creator>Champ Liu (刘灿培)</dc:creator>
  <cp:keywords>ZS Plant CE-TS</cp:keywords>
  <cp:lastModifiedBy>寻欢 李</cp:lastModifiedBy>
  <cp:lastPrinted>2014-04-10T02:07:00Z</cp:lastPrinted>
  <dcterms:created xsi:type="dcterms:W3CDTF">2010-09-07T01:50:00Z</dcterms:created>
  <dcterms:modified xsi:type="dcterms:W3CDTF">2025-04-14T11:53:03Z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ICV">
    <vt:lpwstr>0C22B03DBE5541988C80635E5D99C1ED_12</vt:lpwstr>
  </property>
  <property fmtid="{D5CDD505-2E9C-101B-9397-08002B2CF9AE}" pid="4" name="KSOProductBuildVer">
    <vt:lpwstr>2052-12.1.0.20305</vt:lpwstr>
  </property>
</Properties>
</file>